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Buyer" sheetId="5" state="visible" r:id="rId7"/>
  </sheets>
  <definedNames>
    <definedName function="false" hidden="false" localSheetId="4" name="_xlnm.Print_Titles" vbProcedure="false">Buyer!$1:$1</definedName>
    <definedName function="false" hidden="true" localSheetId="4" name="_xlnm._FilterDatabase" vbProcedure="false">Buyer!$A$1:$M$31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<sst xmlns="http://schemas.openxmlformats.org/spreadsheetml/2006/main" count="1030" uniqueCount="536">
  <si>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</si>
  <si>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</si>
  <si>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</si>
  <si>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</si>
  <si>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</si>
  <si>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</si>
  <si>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</si>
  <si>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</si>
  <si>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</si>
  <si>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</si>
  <si>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</si>
  <si>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</si>
  <si>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</si>
  <si>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</si>
  <si>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</si>
  <si>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</si>
  <si>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</si>
  <si>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</si>
  <si>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</si>
  <si>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</si>
  <si>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</si>
  <si>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</si>
  <si>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</si>
  <si>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</si>
  <si>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</si>
  <si>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</si>
  <si>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</si>
  <si>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</si>
  <si>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</si>
  <si>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</si>
  <si>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</si>
  <si>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</si>
  <si>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</si>
  <si>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</si>
  <si>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</si>
  <si>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</si>
  <si>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</si>
  <si>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</si>
  <si>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</si>
  <si>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</si>
  <si>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</si>
  <si>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</si>
  <si>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</si>
  <si>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</si>
  <si>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</si>
  <si>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</si>
  <si>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</si>
  <si>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</si>
  <si>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</si>
  <si>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</si>
  <si>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</si>
  <si>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</si>
  <si>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</si>
  <si>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</si>
  <si>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</si>
  <si>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</si>
  <si>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</si>
  <si>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</si>
  <si>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</si>
  <si>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</si>
  <si>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</si>
  <si>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</si>
  <si>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</si>
  <si>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</si>
  <si>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</si>
  <si>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</si>
  <si>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</si>
  <si>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</si>
  <si>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</si>
  <si>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</si>
  <si>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</si>
  <si>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</si>
  <si>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</si>
  <si>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</si>
  <si>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</si>
  <si>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</si>
  <si>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</si>
  <si>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</si>
  <si>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</si>
  <si>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</si>
  <si>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</si>
  <si>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</si>
  <si>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</si>
  <si>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</si>
  <si>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</si>
  <si>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</si>
  <si>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</si>
  <si>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</si>
  <si>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</si>
  <si>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</si>
  <si>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</si>
  <si>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</si>
  <si>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</si>
  <si>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</si>
  <si>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</si>
  <si>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</si>
  <si>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</si>
  <si>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</si>
  <si>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</si>
  <si>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</si>
  <si>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</si>
  <si>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</si>
  <si>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</si>
  <si>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</si>
  <si>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</si>
  <si>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</si>
  <si>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</si>
  <si>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</si>
  <si>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</si>
  <si>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</si>
  <si>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</si>
  <si>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</si>
  <si>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</si>
  <si>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</si>
  <si>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</si>
  <si>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</si>
  <si>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</si>
  <si>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</si>
  <si>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</si>
  <si>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</si>
  <si>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</si>
  <si>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</si>
  <si>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</si>
  <si>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</si>
  <si>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</si>
  <si>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</si>
  <si>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</si>
  <si>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</si>
  <si>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</si>
  <si>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</si>
  <si>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</si>
  <si>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</si>
  <si>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</si>
  <si>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</si>
  <si>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</si>
  <si>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</si>
  <si>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</si>
  <si>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</si>
  <si>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</si>
  <si>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</si>
  <si>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</si>
  <si>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</si>
  <si>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</si>
  <si>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</si>
  <si>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</si>
  <si>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</si>
  <si>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</si>
  <si>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</si>
  <si>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</si>
  <si>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</si>
  <si>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</si>
  <si>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</si>
  <si>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</si>
  <si>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</si>
  <si>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</si>
  <si>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</si>
  <si>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</si>
  <si>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</si>
  <si>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</si>
  <si>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</si>
  <si>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</si>
  <si>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</si>
  <si>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</si>
  <si>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</si>
  <si>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</si>
  <si>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</si>
  <si>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</si>
  <si>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</si>
  <si>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</si>
  <si>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</si>
  <si>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</si>
  <si>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</si>
  <si>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</si>
  <si>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</si>
  <si>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</si>
  <si>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</si>
  <si>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</si>
  <si>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</si>
  <si>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</si>
  <si>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</si>
  <si>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</si>
  <si>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</si>
  <si>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</si>
  <si>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</si>
  <si>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</si>
  <si>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</si>
  <si>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</si>
  <si>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</si>
  <si>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</si>
  <si>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</si>
  <si>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</si>
  <si>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</si>
  <si>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</si>
  <si>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</si>
  <si>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</si>
  <si>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</si>
  <si>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</si>
  <si>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</si>
  <si>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</si>
  <si>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</si>
  <si>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</si>
  <si>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</si>
  <si>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</si>
  <si>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</si>
  <si>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</si>
  <si>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</si>
  <si>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</si>
  <si>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</si>
  <si>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</si>
  <si>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</si>
  <si>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</si>
  <si>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</si>
  <si>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</si>
  <si>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</si>
  <si>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</si>
  <si>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</si>
  <si>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</si>
  <si>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</si>
  <si>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</si>
  <si>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</si>
  <si>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</si>
  <si>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</si>
  <si>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</si>
  <si>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</si>
  <si>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</si>
  <si>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</si>
  <si>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</si>
  <si>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</si>
  <si>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</si>
  <si>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</si>
  <si>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</si>
  <si>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</si>
  <si>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</si>
  <si>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</si>
  <si>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</si>
  <si>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</si>
  <si>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</si>
  <si>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</si>
  <si>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</si>
  <si>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</si>
  <si>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</si>
  <si>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</si>
  <si>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</si>
  <si>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</si>
  <si>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</si>
  <si>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</si>
  <si>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</si>
  <si>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</si>
  <si>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</si>
  <si>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</si>
  <si>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</si>
  <si>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</si>
  <si>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</si>
  <si>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</si>
  <si>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</si>
  <si>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</si>
  <si>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</si>
  <si>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</si>
  <si>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</si>
  <si>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</si>
  <si>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</si>
  <si>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</si>
  <si>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</si>
  <si>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</si>
  <si>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</si>
  <si>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</si>
  <si>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</si>
  <si>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</si>
  <si>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</si>
  <si>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</si>
  <si>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</si>
  <si>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</si>
  <si>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</si>
  <si>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</si>
  <si>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</si>
  <si>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</si>
  <si>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</si>
  <si>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</si>
  <si>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</si>
  <si>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</si>
  <si>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</si>
  <si>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</si>
  <si>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</si>
  <si>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</si>
  <si>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</si>
  <si>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</si>
  <si>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</si>
  <si>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</si>
  <si>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</si>
  <si>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</si>
  <si>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</si>
  <si>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</si>
  <si>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</si>
  <si>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</si>
  <si>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</si>
  <si>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</si>
  <si>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</si>
  <si>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</si>
  <si>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</si>
  <si>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</si>
  <si>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</si>
  <si>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</si>
  <si>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</si>
  <si>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</si>
  <si>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</si>
  <si>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</si>
  <si>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</si>
  <si>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</si>
  <si>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</si>
  <si>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</si>
  <si>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</si>
  <si>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</si>
  <si>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</si>
  <si>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</si>
  <si>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</si>
  <si>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</si>
  <si>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</si>
  <si>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</si>
  <si>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</si>
  <si>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</si>
  <si>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</si>
  <si>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</si>
  <si>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</si>
  <si>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</si>
  <si>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</si>
  <si>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</si>
  <si>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</si>
  <si>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</si>
  <si>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</si>
  <si>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</si>
  <si>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</si>
  <si>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</si>
  <si>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</si>
  <si>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</si>
  <si>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</si>
  <si>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</si>
  <si>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</si>
  <si>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</si>
  <si>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</si>
  <si>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</si>
  <si>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</si>
  <si>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</si>
  <si>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</si>
  <si>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</si>
  <si>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</si>
  <si>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</si>
  <si>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</si>
  <si>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</si>
  <si>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</si>
  <si>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</si>
  <si>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</si>
  <si>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</si>
  <si>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</si>
  <si>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</si>
  <si>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</si>
  <si>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</si>
  <si>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</si>
  <si>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</si>
  <si>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</si>
  <si>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</si>
  <si>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</si>
  <si>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</si>
  <si>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</si>
  <si>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</si>
  <si>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</si>
  <si>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</si>
  <si>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</si>
  <si>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</si>
  <si>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</si>
  <si>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</si>
  <si>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</si>
  <si>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</si>
  <si>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</si>
  <si>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</si>
  <si>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</si>
  <si>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</si>
  <si>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</si>
  <si>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TC-BUY-001</t>
  </si>
  <si>
    <t xml:space="preserve">Registration Form</t>
  </si>
  <si>
    <t xml:space="preserve">Register with all valid data</t>
  </si>
  <si>
    <t xml:space="preserve">High</t>
  </si>
  <si>
    <t xml:space="preserve">The buyer registration page is open. The email, mobile number and other unique values in the test data are not yet registered.</t>
  </si>
  <si>
    <t xml:space="preserve">1. Fill in every field with the test data.
2. Click Register.</t>
  </si>
  <si>
    <t xml:space="preserve">First Name: Juan Miguel
Last Name: Dela Cruz
Email: juanmiguel.delacruz@example.com
Mobile Number: 09171234567
Date of Birth: 05/14/1998
Password: Mamimili@2026
Confirm Password: Mamimili@2026
Terms and Privacy Policy: Ticked</t>
  </si>
  <si>
    <t xml:space="preserve">The form is accepted with no validation errors. A success message is shown, a 6-digit OTP is sent to the email, and the email verification page opens. The account is saved with status Unverified.</t>
  </si>
  <si>
    <t xml:space="preserve">A1, A9, A12</t>
  </si>
  <si>
    <t xml:space="preserve">TC-BUY-002</t>
  </si>
  <si>
    <t xml:space="preserve">Required Fields</t>
  </si>
  <si>
    <t xml:space="preserve">Submit a completely empty form</t>
  </si>
  <si>
    <t xml:space="preserve">The buyer registration page is open.</t>
  </si>
  <si>
    <t xml:space="preserve">1. Leave every field blank and every dropdown on its default option.
2. Click Register.</t>
  </si>
  <si>
    <t xml:space="preserve">All fields blank</t>
  </si>
  <si>
    <t xml:space="preserve">Registration is blocked. A required-field message is shown for every mandatory field. No account is created and no OTP is sent.</t>
  </si>
  <si>
    <t xml:space="preserve">TC-BUY-003</t>
  </si>
  <si>
    <t xml:space="preserve">Leave one required field blank at a time</t>
  </si>
  <si>
    <t xml:space="preserve">1. Fill in all fields with valid data.
2. Clear one required field.
3. Click Register.
4. Repeat for each field in the test data.</t>
  </si>
  <si>
    <t xml:space="preserve">Clear in turn:
First Name
Last Name
Email
Mobile Number
Date of Birth
Password
Confirm Password</t>
  </si>
  <si>
    <t xml:space="preserve">Each time, registration is blocked and a required-field message is shown on the blank field only. Other entered values (except passwords and uploads) are kept. No account is created.</t>
  </si>
  <si>
    <t xml:space="preserve">TC-BUY-004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</si>
  <si>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</si>
  <si>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</si>
  <si>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</si>
  <si>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Register.</t>
  </si>
  <si>
    <t xml:space="preserve">First Name: Juan Miguel123
Last Name: Dela Cruz@#</t>
  </si>
  <si>
    <t xml:space="preserve">Registration is blocked. A message on each name field says only letters are allowed.</t>
  </si>
  <si>
    <t xml:space="preserve">TC-BUY-005</t>
  </si>
  <si>
    <t xml:space="preserve">Name with ñ and allowed punctuation</t>
  </si>
  <si>
    <t xml:space="preserve">Low</t>
  </si>
  <si>
    <t xml:space="preserve">First Name: Niño Angelo
Last Name: Peñaflor-O'Hara</t>
  </si>
  <si>
    <t xml:space="preserve">The names are accepted and saved exactly as typed, including ñ.</t>
  </si>
  <si>
    <t xml:space="preserve">TC-BUY-006</t>
  </si>
  <si>
    <t xml:space="preserve">Name length at the limits</t>
  </si>
  <si>
    <t xml:space="preserve">1. Fill in all other fields with valid data.
2. Enter each first name in the test data, one per attempt.
3. Click Register.</t>
  </si>
  <si>
    <t xml:space="preserve">1 character: J (reject)
2 characters: Jo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</si>
  <si>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</si>
  <si>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TC-BUY-007</t>
  </si>
  <si>
    <t xml:space="preserve">Age at the 18-year limit</t>
  </si>
  <si>
    <t xml:space="preserve">1. Fill in all other fields with valid data.
2. Enter each date of birth in the test data, one per attempt.
3. Click Register.</t>
  </si>
  <si>
    <t xml:space="preserve">The 17-year-old date is rejected with a message that the person must be at least 18. The other two dates are accepted.</t>
  </si>
  <si>
    <t xml:space="preserve">TC-BUY-008</t>
  </si>
  <si>
    <t xml:space="preserve">Date of birth in the future</t>
  </si>
  <si>
    <t xml:space="preserve">1. Fill in all other fields with valid data.
2. Enter the date of birth in the test data.
3. Click Register.</t>
  </si>
  <si>
    <t xml:space="preserve">Registration is blocked. A message asks for a valid date of birth. If a date picker is used, future dates cannot be selected.</t>
  </si>
  <si>
    <t xml:space="preserve">TC-BUY-009</t>
  </si>
  <si>
    <t xml:space="preserve">Email in an invalid format</t>
  </si>
  <si>
    <t xml:space="preserve">1. Fill in all other fields with valid data.
2. Enter each email in the test data, one per attempt.
3. Click Register.</t>
  </si>
  <si>
    <t xml:space="preserve">juanmiguel.delacruzexample.com (no @)
juanmiguel.delacruz@ (no domain)
@example.com (no name)
juanmiguel.delacruz@example (no .com)
juanmiguel delacruz@example.com (space)</t>
  </si>
  <si>
    <t xml:space="preserve">Each value is rejected with a message asking for a valid email address. No account is created.</t>
  </si>
  <si>
    <t xml:space="preserve">The buyer registration page is open. The buyer account juanmiguel.delacruz@example.com already exists.</t>
  </si>
  <si>
    <t xml:space="preserve">1. Fill in all other fields with valid data.
2. Enter the existing email.
3. Click Register.</t>
  </si>
  <si>
    <t xml:space="preserve">Email: juanmiguel.delacruz@example.com</t>
  </si>
  <si>
    <t xml:space="preserve">TC-BUY-011</t>
  </si>
  <si>
    <t xml:space="preserve">Registered email typed in capital letters</t>
  </si>
  <si>
    <t xml:space="preserve">1. Fill in all other fields with valid data.
2. Enter the same email in capital letters.
3. Click Register.</t>
  </si>
  <si>
    <t xml:space="preserve">Email: JUANMIGUEL.DELACRUZ@EXAMPLE.COM</t>
  </si>
  <si>
    <t xml:space="preserve">The email is treated as a duplicate. Registration is blocked.</t>
  </si>
  <si>
    <t xml:space="preserve">TC-BUY-012</t>
  </si>
  <si>
    <t xml:space="preserve">Email with spaces before and after</t>
  </si>
  <si>
    <t xml:space="preserve">1. Fill in all other fields with valid data.
2. Type two spaces before and after the email.
3. Click Register.</t>
  </si>
  <si>
    <t xml:space="preserve">Email: "  buyer.test01@example.com  "</t>
  </si>
  <si>
    <t xml:space="preserve">The spaces are removed and the email is saved as buyer.test01@example.com.</t>
  </si>
  <si>
    <t xml:space="preserve">TC-BUY-013</t>
  </si>
  <si>
    <t xml:space="preserve">Mobile number in an invalid format</t>
  </si>
  <si>
    <t xml:space="preserve">1. Fill in all other fields with valid data.
2. Enter each mobile number in the test data, one per attempt.
3. Click Register.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</si>
  <si>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</si>
  <si>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</si>
  <si>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TC-BUY-014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</si>
  <si>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</si>
  <si>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</si>
  <si>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</si>
  <si>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TC-BUY-015</t>
  </si>
  <si>
    <t xml:space="preserve">Mobile number that is already registered</t>
  </si>
  <si>
    <t xml:space="preserve">The buyer registration page is open. An account already exists with mobile number 09171234567.</t>
  </si>
  <si>
    <t xml:space="preserve">1. Fill in all other fields with valid data.
2. Enter the existing mobile number.
3. Click Register.</t>
  </si>
  <si>
    <t xml:space="preserve">Mobile: 09171234567</t>
  </si>
  <si>
    <t xml:space="preserve">Registration is blocked. A message says the mobile number is already in use.</t>
  </si>
  <si>
    <t xml:space="preserve">TC-BUY-016</t>
  </si>
  <si>
    <t xml:space="preserve">Registered number entered in +63 format</t>
  </si>
  <si>
    <t xml:space="preserve">1. Fill in all other fields with valid data.
2. Enter the same number in +63 format.
3. Click Register.</t>
  </si>
  <si>
    <t xml:space="preserve">Mobile: +639171234567</t>
  </si>
  <si>
    <t xml:space="preserve">The +63 format is recognised as the same number. Registration is blocked. A message says the mobile number is already in use.</t>
  </si>
  <si>
    <t xml:space="preserve">TC-BUY-017</t>
  </si>
  <si>
    <t xml:space="preserve">Password length at the limit</t>
  </si>
  <si>
    <t xml:space="preserve">1. Fill in all other fields with valid data.
2. Enter each password in both password fields, one per attempt.
3. Click Register.</t>
  </si>
  <si>
    <t xml:space="preserve">7 characters: Bili@26 (reject)
8 characters: Bili@202 (accept)</t>
  </si>
  <si>
    <t xml:space="preserve">7 characters is rejected with a minimum-length message. 8 characters is accepted.</t>
  </si>
  <si>
    <t xml:space="preserve">TC-BUY-018</t>
  </si>
  <si>
    <t xml:space="preserve">Password missing a required character type</t>
  </si>
  <si>
    <t xml:space="preserve">No uppercase: mamimili@2026
No lowercase: MAMIMILI@2026
No number: Mamimili@abcd
No special character: Mamimili2026</t>
  </si>
  <si>
    <t xml:space="preserve">Each password is rejected with a message stating the password rule. No account is created.</t>
  </si>
  <si>
    <t xml:space="preserve">TC-BUY-019</t>
  </si>
  <si>
    <t xml:space="preserve">Confirm Password does not match</t>
  </si>
  <si>
    <t xml:space="preserve">1. Fill in all other fields with valid data.
2. Enter the test data in Password and Confirm Password.
3. Click Register.</t>
  </si>
  <si>
    <t xml:space="preserve">Password: Mamimili@2026
Confirm Password: Mamimili@2027</t>
  </si>
  <si>
    <t xml:space="preserve">Registration is blocked. A message says the passwords do not match.</t>
  </si>
  <si>
    <t xml:space="preserve">TC-BUY-020</t>
  </si>
  <si>
    <t xml:space="preserve">Password is hidden while typing</t>
  </si>
  <si>
    <t xml:space="preserve">1. Type the password.
2. If a show/hide icon is provided, click it twice.</t>
  </si>
  <si>
    <t xml:space="preserve">Password: Mamimili@2026</t>
  </si>
  <si>
    <t xml:space="preserve">Characters are hidden as dots by default. The icon reveals the password, then hides it again.</t>
  </si>
  <si>
    <t xml:space="preserve">TC-BUY-021</t>
  </si>
  <si>
    <t xml:space="preserve">Register without accepting the terms</t>
  </si>
  <si>
    <t xml:space="preserve">1. Fill in all fields with valid data.
2. Leave the Terms and Privacy Policy checkbox unticked.
3. Click Register.</t>
  </si>
  <si>
    <t xml:space="preserve">Terms and Privacy Policy: unticked</t>
  </si>
  <si>
    <t xml:space="preserve">Registration is blocked. A message says the Terms and Privacy Policy must be accepted.</t>
  </si>
  <si>
    <t xml:space="preserve">TC-BUY-022</t>
  </si>
  <si>
    <t xml:space="preserve">Click Register several times quickly</t>
  </si>
  <si>
    <t xml:space="preserve">1. Fill in all fields with the Account 2 data from the Test Data sheet.
2. Click Register three times in quick succession.</t>
  </si>
  <si>
    <t xml:space="preserve">Account 2 data (Test Data sheet, column G)</t>
  </si>
  <si>
    <t xml:space="preserve">Only one account is created and only one OTP email is sent. No duplicate-email error page appears.</t>
  </si>
  <si>
    <t xml:space="preserve">TC-BUY-023</t>
  </si>
  <si>
    <t xml:space="preserve">Email Verification (OTP)</t>
  </si>
  <si>
    <t xml:space="preserve">Verify with the correct OTP</t>
  </si>
  <si>
    <t xml:space="preserve">The buyer account juanmiguel.delacruz@example.com was just registered and is Unverified. The verification page is open and the OTP email has been read from the mail catcher.</t>
  </si>
  <si>
    <t xml:space="preserve">1. Enter the OTP from the email within 5 minutes.
2. Click Verify.</t>
  </si>
  <si>
    <t xml:space="preserve">OTP: the code in the email (for example 482913)</t>
  </si>
  <si>
    <t xml:space="preserve">Verification succeeds. The account status changes from Unverified to Active. A success message is shown and the login page (or home page) opens.</t>
  </si>
  <si>
    <t xml:space="preserve">A9, A12</t>
  </si>
  <si>
    <t xml:space="preserve">TC-BUY-024</t>
  </si>
  <si>
    <t xml:space="preserve">Verify with an incorrect OTP</t>
  </si>
  <si>
    <t xml:space="preserve">1. Enter a code different from the one in the email.
2. Click Verify.</t>
  </si>
  <si>
    <t xml:space="preserve">OTP: 000000 (use 111111 if the real code is 000000)</t>
  </si>
  <si>
    <t xml:space="preserve">Verification fails with an invalid-code message. The account stays Unverified.</t>
  </si>
  <si>
    <t xml:space="preserve">TC-BUY-025</t>
  </si>
  <si>
    <t xml:space="preserve">OTP in the wrong format</t>
  </si>
  <si>
    <t xml:space="preserve">1. Enter each value in the test data, one per attempt.
2. Click Verify.</t>
  </si>
  <si>
    <t xml:space="preserve">5 digits: 48291
7 digits: 4829137
Letters: 48A91B
Blank</t>
  </si>
  <si>
    <t xml:space="preserve">Each value is rejected. The account stays Unverified.</t>
  </si>
  <si>
    <t xml:space="preserve">TC-BUY-026</t>
  </si>
  <si>
    <t xml:space="preserve">Verify with an expired OTP</t>
  </si>
  <si>
    <t xml:space="preserve">1. Wait until 5 minutes and 1 second have passed since the OTP was sent.
2. Enter the OTP from the email.
3. Click Verify.</t>
  </si>
  <si>
    <t xml:space="preserve">OTP: the correct code, entered at 5:01 or later</t>
  </si>
  <si>
    <t xml:space="preserve">Verification fails with a message that the code has expired, and a Resend option is offered. The account stays Unverified.</t>
  </si>
  <si>
    <t xml:space="preserve">TC-BUY-027</t>
  </si>
  <si>
    <t xml:space="preserve">Resend OTP</t>
  </si>
  <si>
    <t xml:space="preserve">1. Click Resend OTP.
2. Enter the first code and click Verify.
3. Enter the second code and click Verify.</t>
  </si>
  <si>
    <t xml:space="preserve">First code (for example 482913), then the second code (for example 907356)</t>
  </si>
  <si>
    <t xml:space="preserve">A new OTP email arrives. The first code is rejected. The second code is accepted and the account is verified.</t>
  </si>
  <si>
    <t xml:space="preserve">TC-BUY-028</t>
  </si>
  <si>
    <t xml:space="preserve">Log in before verifying the email</t>
  </si>
  <si>
    <t xml:space="preserve">The buyer account juanmiguel.delacruz@example.com exists with status Unverified.</t>
  </si>
  <si>
    <t xml:space="preserve">1. Open the login page.
2. Log in with the unverified account.</t>
  </si>
  <si>
    <t xml:space="preserve">Email: juanmiguel.delacruz@example.com
Password: Mamimili@2026</t>
  </si>
  <si>
    <t xml:space="preserve">The user is not given access. The verification page or a message asking to verify the email is shown.</t>
  </si>
  <si>
    <t xml:space="preserve">TC-BUY-029</t>
  </si>
  <si>
    <t xml:space="preserve">Access Control</t>
  </si>
  <si>
    <t xml:space="preserve">Log in with the new verified account</t>
  </si>
  <si>
    <t xml:space="preserve">The buyer account juanmiguel.delacruz@example.com is verified and Active.</t>
  </si>
  <si>
    <t xml:space="preserve">1. Open the login page.
2. Enter the email and password.
3. Click Log In.</t>
  </si>
  <si>
    <t xml:space="preserve">Login succeeds. The buyer home page opens and the name Juan Miguel is shown.</t>
  </si>
  <si>
    <t xml:space="preserve">TC-BUY-030</t>
  </si>
  <si>
    <t xml:space="preserve">Open another role's pages</t>
  </si>
  <si>
    <t xml:space="preserve">The buyer account juanmiguel.delacruz@example.com is logged in.</t>
  </si>
  <si>
    <t xml:space="preserve">1. Paste the address of each dashboard in the test data into the browser, one at a time.</t>
  </si>
  <si>
    <t xml:space="preserve">Seller dashboard
Logistics dashboard
Rider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</si>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</sst>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/>
    </row>
    <row r="7" customFormat="false" ht="23.85" hidden="false" customHeight="false" outlineLevel="0" collapsed="false">
      <c r="A7" s="5" t="s">
        <v>5</v>
      </c>
      <c r="B7" s="6"/>
    </row>
    <row r="8" customFormat="false" ht="15" hidden="false" customHeight="false" outlineLevel="0" collapsed="false">
      <c r="A8" s="5" t="s">
        <v>6</v>
      </c>
      <c r="B8" s="6"/>
    </row>
    <row r="9" customFormat="false" ht="15" hidden="false" customHeight="false" outlineLevel="0" collapsed="false">
      <c r="A9" s="5" t="s">
        <v>7</v>
      </c>
      <c r="B9" s="6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n">
        <f aca="false">COUNTA(Buyer!$A$2:$A$200)</f>
        <v>30</v>
      </c>
      <c r="C13" s="9" t="n">
        <f aca="false">COUNTIF(Buyer!$L$2:$L$200,"Pass")</f>
        <v>0</v>
      </c>
      <c r="D13" s="9" t="n">
        <f aca="false">COUNTIF(Buyer!$L$2:$L$200,"Fail")</f>
        <v>0</v>
      </c>
      <c r="E13" s="9" t="n">
        <f aca="false">COUNTIF(Buyer!$L$2:$L$200,"Blocked")</f>
        <v>0</v>
      </c>
      <c r="F13" s="9" t="n">
        <f aca="false">COUNTIF(Buyer!$L$2:$L$200,"Not Run")</f>
        <v>30</v>
      </c>
      <c r="G13" s="10" t="n">
        <f aca="false">IF(B13=0,0,C13/B13)</f>
        <v>0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e">
        <f aca="false">COUNTA(#REF!)</f>
        <v>#REF!</v>
      </c>
      <c r="C16" s="9" t="e">
        <f aca="false">COUNTIF(#REF!,"Pass")</f>
        <v>#REF!</v>
      </c>
      <c r="D16" s="9" t="e">
        <f aca="false">COUNTIF(#REF!,"Fail")</f>
        <v>#REF!</v>
      </c>
      <c r="E16" s="9" t="e">
        <f aca="false">COUNTIF(#REF!,"Blocked")</f>
        <v>#REF!</v>
      </c>
      <c r="F16" s="9" t="e">
        <f aca="false">COUNTIF(#REF!,"Not Run")</f>
        <v>#REF!</v>
      </c>
      <c r="G16" s="10" t="e">
        <f aca="false">IF(B16=0,0,C16/B16)</f>
        <v>#REF!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/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/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/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/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/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/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/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/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/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/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/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/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/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/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/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91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 t="inlineStr">
        <is>
          <t xml:space="preserve">Chrome/MySQL/local mail log; isolated unique email/phone aliases preserve existing accounts. All required valid values saved, exactly one six-digit OTP logged, success and verification page shown; account remains Unverified. External delivery is separate.</t>
        </is>
      </c>
      <c r="L2" t="inlineStr">
        <is>
          <t xml:space="preserve">PASS</t>
        </is>
      </c>
      <c r="M2" s="22" t="inlineStr">
        <is>
          <t xml:space="preserve">Evidence: regression-final.xml: Tests.Feature.TeacherRegistrationTest::test_all_roles_save_unverified_and_only_transition_after_correct_email_code; buyer-registration-full-browser.json; registration-browser.json</t>
        </is>
      </c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 t="inlineStr">
        <is>
          <t xml:space="preserve">Chrome/MySQL/local mail log; isolated unique email/phone aliases preserve existing accounts. Empty submission shows visible required messages on all seven fields and terms, with no account or OTP.</t>
        </is>
      </c>
      <c r="L3" t="inlineStr">
        <is>
          <t xml:space="preserve">PASS</t>
        </is>
      </c>
      <c r="M3" s="22" t="inlineStr">
        <is>
          <t xml:space="preserve">Evidence: regression-final.xml: Tests.Feature.TeacherRegistrationTest::test_tc_buy_002_empty_form_creates_no_user_and_sends_no_email; buyer-registration-full-browser.json</t>
        </is>
      </c>
    </row>
    <row r="4" customFormat="false" ht="91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 t="inlineStr">
        <is>
          <t xml:space="preserve">Chrome/MySQL/local mail log; isolated unique email/phone aliases preserve existing accounts. Cleared each mandatory field separately: exactly that field shows a required message, other inputs retained, account count unchanged.</t>
        </is>
      </c>
      <c r="L4" t="inlineStr">
        <is>
          <t xml:space="preserve">PASS</t>
        </is>
      </c>
      <c r="M4" s="22" t="inlineStr">
        <is>
          <t xml:space="preserve">Evidence: regression-final.xml: Tests.Feature.TeacherRegistrationTest::test_tc_buy_003_each_required_field_is_rejected_without_losing_other_data; buyer-registration-full-browser.json</t>
        </is>
      </c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 t="inlineStr">
        <is>
          <t xml:space="preserve">Chrome/MySQL/local mail log; isolated unique email/phone aliases preserve existing accounts. Both workbook names containing digits/symbols rejected with field messages; no account/mail.</t>
        </is>
      </c>
      <c r="L5" t="inlineStr">
        <is>
          <t xml:space="preserve">PASS</t>
        </is>
      </c>
      <c r="M5" s="22" t="inlineStr">
        <is>
          <t xml:space="preserve">Evidence: regression-final.xml: Tests.Feature.TeacherRegistrationTest::test_tc_buy_004_name_numbers_and_symbols_are_rejected; buyer-registration-full-browser.json</t>
        </is>
      </c>
    </row>
    <row r="6" customFormat="false" ht="46.2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43</v>
      </c>
      <c r="E6" s="20" t="s">
        <v>407</v>
      </c>
      <c r="F6" s="17" t="s">
        <v>381</v>
      </c>
      <c r="G6" s="17" t="s">
        <v>402</v>
      </c>
      <c r="H6" s="17" t="s">
        <v>408</v>
      </c>
      <c r="I6" s="17" t="s">
        <v>409</v>
      </c>
      <c r="J6" s="20" t="s">
        <v>325</v>
      </c>
      <c r="K6" s="22" t="inlineStr">
        <is>
          <t xml:space="preserve">Chrome/MySQL/local mail log; isolated unique email/phone aliases preserve existing accounts. Specified ñ, apostrophe and hyphen names saved byte-for-byte.</t>
        </is>
      </c>
      <c r="L6" t="inlineStr">
        <is>
          <t xml:space="preserve">PASS</t>
        </is>
      </c>
      <c r="M6" s="22" t="inlineStr">
        <is>
          <t xml:space="preserve">Evidence: regression-final.xml: Tests.Feature.TeacherRegistrationTest::test_tc_buy_005_names_preserve_enye_and_allowed_punctuation; buyer-registration-full-browser.json; registration-browser.json</t>
        </is>
      </c>
    </row>
    <row r="7" customFormat="false" ht="68.65" hidden="false" customHeight="false" outlineLevel="0" collapsed="false">
      <c r="A7" s="21" t="s">
        <v>410</v>
      </c>
      <c r="B7" s="17" t="s">
        <v>399</v>
      </c>
      <c r="C7" s="17" t="s">
        <v>411</v>
      </c>
      <c r="D7" s="17" t="s">
        <v>45</v>
      </c>
      <c r="E7" s="20" t="s">
        <v>401</v>
      </c>
      <c r="F7" s="17" t="s">
        <v>381</v>
      </c>
      <c r="G7" s="17" t="s">
        <v>412</v>
      </c>
      <c r="H7" s="17" t="s">
        <v>413</v>
      </c>
      <c r="I7" s="17" t="s">
        <v>414</v>
      </c>
      <c r="J7" s="20" t="s">
        <v>325</v>
      </c>
      <c r="K7" s="22" t="inlineStr">
        <is>
          <t xml:space="preserve">Chrome/MySQL/local mail log; isolated unique email/phone aliases preserve existing accounts. Exact workbook names of 1/2/50/51 characters checked; only 2 and 50 accepted and saved exactly.</t>
        </is>
      </c>
      <c r="L7" t="inlineStr">
        <is>
          <t xml:space="preserve">PASS</t>
        </is>
      </c>
      <c r="M7" s="22" t="inlineStr">
        <is>
          <t xml:space="preserve">Evidence: regression-final.xml: Tests.Feature.TeacherRegistrationTest::test_tc_buy_006_actual_name_lengths_one_two_fifty_and_fifty_one; buyer-registration-full-browser.json</t>
        </is>
      </c>
    </row>
    <row r="8" customFormat="false" ht="46.25" hidden="false" customHeight="false" outlineLevel="0" collapsed="false">
      <c r="A8" s="21" t="s">
        <v>415</v>
      </c>
      <c r="B8" s="17" t="s">
        <v>82</v>
      </c>
      <c r="C8" s="17" t="s">
        <v>416</v>
      </c>
      <c r="D8" s="17" t="s">
        <v>45</v>
      </c>
      <c r="E8" s="20" t="s">
        <v>380</v>
      </c>
      <c r="F8" s="17" t="s">
        <v>381</v>
      </c>
      <c r="G8" s="17" t="s">
        <v>417</v>
      </c>
      <c r="H8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8" s="17" t="s">
        <v>418</v>
      </c>
      <c r="J8" s="20" t="s">
        <v>337</v>
      </c>
      <c r="K8" s="22" t="inlineStr">
        <is>
          <t xml:space="preserve">Chrome/MySQL/local mail log; isolated unique email/phone aliases preserve existing accounts. On the workbook test date 2026-10-16, tomorrow’s 18th birthday rejected with age message; today/yesterday accepted.</t>
        </is>
      </c>
      <c r="L8" t="inlineStr">
        <is>
          <t xml:space="preserve">PASS</t>
        </is>
      </c>
      <c r="M8" s="22" t="inlineStr">
        <is>
          <t xml:space="preserve">Evidence: regression-final.xml: Tests.Feature.TeacherRegistrationTest::test_tc_buy_007_eighteenth_birthday_boundary_and_008_future_date; buyer-registration-full-browser.json</t>
        </is>
      </c>
    </row>
    <row r="9" customFormat="false" ht="35.05" hidden="false" customHeight="false" outlineLevel="0" collapsed="false">
      <c r="A9" s="21" t="s">
        <v>419</v>
      </c>
      <c r="B9" s="17" t="s">
        <v>82</v>
      </c>
      <c r="C9" s="17" t="s">
        <v>420</v>
      </c>
      <c r="D9" s="17" t="s">
        <v>43</v>
      </c>
      <c r="E9" s="20" t="s">
        <v>401</v>
      </c>
      <c r="F9" s="17" t="s">
        <v>389</v>
      </c>
      <c r="G9" s="17" t="s">
        <v>421</v>
      </c>
      <c r="H9" s="17" t="str">
        <f aca="true">"Date of Birth: "&amp;TEXT(TODAY()+1,"mm/dd/yyyy")&amp;" (tomorrow)"</f>
        <v>Date of Birth: 10/17/2026 (tomorrow)</v>
      </c>
      <c r="I9" s="17" t="s">
        <v>422</v>
      </c>
      <c r="J9" s="20" t="s">
        <v>337</v>
      </c>
      <c r="K9" s="22" t="inlineStr">
        <is>
          <t xml:space="preserve">Chrome/MySQL/local mail log; isolated unique email/phone aliases preserve existing accounts. Tomorrow’s birth date rejected with a valid-date/future-date message.</t>
        </is>
      </c>
      <c r="L9" t="inlineStr">
        <is>
          <t xml:space="preserve">PASS</t>
        </is>
      </c>
      <c r="M9" s="22" t="inlineStr">
        <is>
          <t xml:space="preserve">Evidence: regression-final.xml: Tests.Feature.TeacherRegistrationTest::test_tc_buy_007_eighteenth_birthday_boundary_and_008_future_date; buyer-registration-full-browser.json</t>
        </is>
      </c>
    </row>
    <row r="10" customFormat="false" ht="57.45" hidden="false" customHeight="false" outlineLevel="0" collapsed="false">
      <c r="A10" s="21" t="s">
        <v>423</v>
      </c>
      <c r="B10" s="17" t="s">
        <v>74</v>
      </c>
      <c r="C10" s="17" t="s">
        <v>424</v>
      </c>
      <c r="D10" s="17" t="s">
        <v>43</v>
      </c>
      <c r="E10" s="20" t="s">
        <v>380</v>
      </c>
      <c r="F10" s="17" t="s">
        <v>389</v>
      </c>
      <c r="G10" s="17" t="s">
        <v>425</v>
      </c>
      <c r="H10" s="17" t="s">
        <v>426</v>
      </c>
      <c r="I10" s="17" t="s">
        <v>427</v>
      </c>
      <c r="J10" s="20" t="s">
        <v>328</v>
      </c>
      <c r="K10" s="22" t="inlineStr">
        <is>
          <t xml:space="preserve">Chrome/MySQL/local mail log; isolated unique email/phone aliases preserve existing accounts. All five literal malformed workbook emails rejected with field messages and no account/OTP.</t>
        </is>
      </c>
      <c r="L10" t="inlineStr">
        <is>
          <t xml:space="preserve">PASS</t>
        </is>
      </c>
      <c r="M10" s="22" t="inlineStr">
        <is>
          <t xml:space="preserve">Evidence: regression-final.xml: Tests.Feature.TeacherRegistrationTest::test_tc_buy_009_invalid_email_format; buyer-registration-full-browser.json</t>
        </is>
      </c>
    </row>
    <row r="11" customFormat="false" ht="46.25" hidden="false" customHeight="false" outlineLevel="0" collapsed="false">
      <c r="A11" s="21" t="s">
        <v>37</v>
      </c>
      <c r="B11" s="17" t="s">
        <v>74</v>
      </c>
      <c r="C11" s="17" t="s">
        <v>38</v>
      </c>
      <c r="D11" s="17" t="s">
        <v>43</v>
      </c>
      <c r="E11" s="20" t="s">
        <v>380</v>
      </c>
      <c r="F11" s="17" t="s">
        <v>428</v>
      </c>
      <c r="G11" s="17" t="s">
        <v>429</v>
      </c>
      <c r="H11" s="17" t="s">
        <v>430</v>
      </c>
      <c r="I11" s="17" t="s">
        <v>39</v>
      </c>
      <c r="J11" s="20" t="s">
        <v>328</v>
      </c>
      <c r="K11" s="22" t="inlineStr">
        <is>
          <t xml:space="preserve">Chrome/MySQL/local mail log; isolated unique email/phone aliases preserve existing accounts. Existing primary email and uppercase form both rejected as duplicate without another account or OTP.</t>
        </is>
      </c>
      <c r="L11" t="inlineStr">
        <is>
          <t xml:space="preserve">PASS</t>
        </is>
      </c>
      <c r="M11" s="22" t="inlineStr">
        <is>
          <t xml:space="preserve">Evidence: regression-final.xml: Tests.Feature.TeacherRegistrationTest::test_tc_buy_010_011_012_email_uniqueness_case_and_whitespace; buyer-registration-full-browser.json</t>
        </is>
      </c>
    </row>
    <row r="12" customFormat="false" ht="46.25" hidden="false" customHeight="false" outlineLevel="0" collapsed="false">
      <c r="A12" s="21" t="s">
        <v>431</v>
      </c>
      <c r="B12" s="17" t="s">
        <v>74</v>
      </c>
      <c r="C12" s="17" t="s">
        <v>432</v>
      </c>
      <c r="D12" s="17" t="s">
        <v>53</v>
      </c>
      <c r="E12" s="20" t="s">
        <v>401</v>
      </c>
      <c r="F12" s="17" t="s">
        <v>428</v>
      </c>
      <c r="G12" s="17" t="s">
        <v>433</v>
      </c>
      <c r="H12" s="17" t="s">
        <v>434</v>
      </c>
      <c r="I12" s="17" t="s">
        <v>435</v>
      </c>
      <c r="J12" s="20" t="s">
        <v>328</v>
      </c>
      <c r="K12" s="22" t="inlineStr">
        <is>
          <t xml:space="preserve">Chrome/MySQL/local mail log; isolated unique email/phone aliases preserve existing accounts. Existing primary email and uppercase form both rejected as duplicate without another account or OTP.</t>
        </is>
      </c>
      <c r="L12" t="inlineStr">
        <is>
          <t xml:space="preserve">PASS</t>
        </is>
      </c>
      <c r="M12" s="22" t="inlineStr">
        <is>
          <t xml:space="preserve">Evidence: regression-final.xml: Tests.Feature.TeacherRegistrationTest::test_tc_buy_010_011_012_email_uniqueness_case_and_whitespace; buyer-registration-full-browser.json</t>
        </is>
      </c>
    </row>
    <row r="13" customFormat="false" ht="46.25" hidden="false" customHeight="false" outlineLevel="0" collapsed="false">
      <c r="A13" s="21" t="s">
        <v>436</v>
      </c>
      <c r="B13" s="17" t="s">
        <v>74</v>
      </c>
      <c r="C13" s="17" t="s">
        <v>437</v>
      </c>
      <c r="D13" s="17" t="s">
        <v>53</v>
      </c>
      <c r="E13" s="20" t="s">
        <v>407</v>
      </c>
      <c r="F13" s="17" t="s">
        <v>381</v>
      </c>
      <c r="G13" s="17" t="s">
        <v>438</v>
      </c>
      <c r="H13" s="17" t="s">
        <v>439</v>
      </c>
      <c r="I13" s="17" t="s">
        <v>440</v>
      </c>
      <c r="J13" s="20" t="s">
        <v>328</v>
      </c>
      <c r="K13" s="22" t="inlineStr">
        <is>
          <t xml:space="preserve">Chrome/MySQL/local mail log; isolated unique email/phone aliases preserve existing accounts. Two outer email spaces removed and canonical email persisted.</t>
        </is>
      </c>
      <c r="L13" t="inlineStr">
        <is>
          <t xml:space="preserve">PASS</t>
        </is>
      </c>
      <c r="M13" s="22" t="inlineStr">
        <is>
          <t xml:space="preserve">Evidence: regression-final.xml: Tests.Feature.TeacherRegistrationTest::test_tc_buy_010_011_012_email_uniqueness_case_and_whitespace; buyer-registration-full-browser.json</t>
        </is>
      </c>
    </row>
    <row r="14" customFormat="false" ht="46.25" hidden="false" customHeight="false" outlineLevel="0" collapsed="false">
      <c r="A14" s="21" t="s">
        <v>441</v>
      </c>
      <c r="B14" s="17" t="s">
        <v>78</v>
      </c>
      <c r="C14" s="17" t="s">
        <v>442</v>
      </c>
      <c r="D14" s="17" t="s">
        <v>43</v>
      </c>
      <c r="E14" s="20" t="s">
        <v>380</v>
      </c>
      <c r="F14" s="17" t="s">
        <v>389</v>
      </c>
      <c r="G14" s="17" t="s">
        <v>443</v>
      </c>
      <c r="H14" s="17" t="s">
        <v>444</v>
      </c>
      <c r="I14" s="17" t="s">
        <v>445</v>
      </c>
      <c r="J14" s="20" t="s">
        <v>331</v>
      </c>
      <c r="K14" s="22" t="inlineStr">
        <is>
          <t xml:space="preserve">Chrome/MySQL/local mail log; isolated unique email/phone aliases preserve existing accounts. All four literal workbook invalid phones rejected without account/mail.</t>
        </is>
      </c>
      <c r="L14" t="inlineStr">
        <is>
          <t xml:space="preserve">PASS</t>
        </is>
      </c>
      <c r="M14" s="22" t="inlineStr">
        <is>
          <t xml:space="preserve">Evidence: regression-final.xml: Tests.Feature.TeacherRegistrationTest::test_tc_buy_013_014_phone_format_and_length; buyer-registration-full-browser.json</t>
        </is>
      </c>
    </row>
    <row r="15" customFormat="false" ht="46.25" hidden="false" customHeight="false" outlineLevel="0" collapsed="false">
      <c r="A15" s="21" t="s">
        <v>446</v>
      </c>
      <c r="B15" s="17" t="s">
        <v>78</v>
      </c>
      <c r="C15" s="17" t="s">
        <v>447</v>
      </c>
      <c r="D15" s="17" t="s">
        <v>45</v>
      </c>
      <c r="E15" s="20" t="s">
        <v>380</v>
      </c>
      <c r="F15" s="17" t="s">
        <v>381</v>
      </c>
      <c r="G15" s="17" t="s">
        <v>443</v>
      </c>
      <c r="H15" s="17" t="s">
        <v>448</v>
      </c>
      <c r="I15" s="17" t="s">
        <v>449</v>
      </c>
      <c r="J15" s="20" t="s">
        <v>331</v>
      </c>
      <c r="K15" s="22" t="inlineStr">
        <is>
          <t xml:space="preserve">Chrome/MySQL/local mail log; isolated unique email/phone aliases preserve existing accounts. Ten/twelve-digit numbers rejected; unique eleven-digit Philippine number accepted.</t>
        </is>
      </c>
      <c r="L15" t="inlineStr">
        <is>
          <t xml:space="preserve">PASS</t>
        </is>
      </c>
      <c r="M15" s="22" t="inlineStr">
        <is>
          <t xml:space="preserve">Evidence: regression-final.xml: Tests.Feature.TeacherRegistrationTest::test_tc_buy_013_014_phone_format_and_length; buyer-registration-full-browser.json</t>
        </is>
      </c>
    </row>
    <row r="16" customFormat="false" ht="35.05" hidden="false" customHeight="false" outlineLevel="0" collapsed="false">
      <c r="A16" s="21" t="s">
        <v>450</v>
      </c>
      <c r="B16" s="17" t="s">
        <v>78</v>
      </c>
      <c r="C16" s="17" t="s">
        <v>451</v>
      </c>
      <c r="D16" s="17" t="s">
        <v>43</v>
      </c>
      <c r="E16" s="20" t="s">
        <v>401</v>
      </c>
      <c r="F16" s="17" t="s">
        <v>452</v>
      </c>
      <c r="G16" s="17" t="s">
        <v>453</v>
      </c>
      <c r="H16" s="17" t="s">
        <v>454</v>
      </c>
      <c r="I16" s="17" t="s">
        <v>455</v>
      </c>
      <c r="J16" s="20" t="s">
        <v>331</v>
      </c>
      <c r="K16" s="22" t="inlineStr">
        <is>
          <t xml:space="preserve">Chrome/MySQL/local mail log; isolated unique email/phone aliases preserve existing accounts. Existing phone in 09 and equivalent +63 formats both rejected as the same registered number.</t>
        </is>
      </c>
      <c r="L16" t="inlineStr">
        <is>
          <t xml:space="preserve">PASS</t>
        </is>
      </c>
      <c r="M16" s="22" t="inlineStr">
        <is>
          <t xml:space="preserve">Evidence: regression-final.xml: Tests.Feature.TeacherRegistrationTest::test_tc_buy_015_016_phone_uniqueness_and_plus63_normalization; buyer-registration-full-browser.json</t>
        </is>
      </c>
    </row>
    <row r="17" customFormat="false" ht="35.05" hidden="false" customHeight="false" outlineLevel="0" collapsed="false">
      <c r="A17" s="21" t="s">
        <v>456</v>
      </c>
      <c r="B17" s="17" t="s">
        <v>78</v>
      </c>
      <c r="C17" s="17" t="s">
        <v>457</v>
      </c>
      <c r="D17" s="17" t="s">
        <v>53</v>
      </c>
      <c r="E17" s="20" t="s">
        <v>401</v>
      </c>
      <c r="F17" s="17" t="s">
        <v>452</v>
      </c>
      <c r="G17" s="17" t="s">
        <v>458</v>
      </c>
      <c r="H17" s="17" t="s">
        <v>459</v>
      </c>
      <c r="I17" s="17" t="s">
        <v>460</v>
      </c>
      <c r="J17" s="20" t="s">
        <v>331</v>
      </c>
      <c r="K17" s="22" t="inlineStr">
        <is>
          <t xml:space="preserve">Chrome/MySQL/local mail log; isolated unique email/phone aliases preserve existing accounts. Existing phone in 09 and equivalent +63 formats both rejected as the same registered number.</t>
        </is>
      </c>
      <c r="L17" t="inlineStr">
        <is>
          <t xml:space="preserve">PASS</t>
        </is>
      </c>
      <c r="M17" s="22" t="inlineStr">
        <is>
          <t xml:space="preserve">Evidence: regression-final.xml: Tests.Feature.TeacherRegistrationTest::test_tc_buy_015_016_phone_uniqueness_and_plus63_normalization; buyer-registration-full-browser.json</t>
        </is>
      </c>
    </row>
    <row r="18" customFormat="false" ht="46.25" hidden="false" customHeight="false" outlineLevel="0" collapsed="false">
      <c r="A18" s="21" t="s">
        <v>461</v>
      </c>
      <c r="B18" s="17" t="s">
        <v>87</v>
      </c>
      <c r="C18" s="17" t="s">
        <v>462</v>
      </c>
      <c r="D18" s="17" t="s">
        <v>45</v>
      </c>
      <c r="E18" s="20" t="s">
        <v>380</v>
      </c>
      <c r="F18" s="17" t="s">
        <v>381</v>
      </c>
      <c r="G18" s="17" t="s">
        <v>463</v>
      </c>
      <c r="H18" s="17" t="s">
        <v>464</v>
      </c>
      <c r="I18" s="17" t="s">
        <v>465</v>
      </c>
      <c r="J18" s="20" t="s">
        <v>334</v>
      </c>
      <c r="K18" s="22" t="inlineStr">
        <is>
          <t xml:space="preserve">Chrome/MySQL/local mail log; isolated unique email/phone aliases preserve existing accounts. Seven-character workbook password rejected; eight-character password accepted.</t>
        </is>
      </c>
      <c r="L18" t="inlineStr">
        <is>
          <t xml:space="preserve">PASS</t>
        </is>
      </c>
      <c r="M18" s="22" t="inlineStr">
        <is>
          <t xml:space="preserve">Evidence: regression-final.xml: Tests.Feature.TeacherRegistrationTest::test_tc_buy_017_018_019_password_boundaries_complexity_and_confirmation; buyer-registration-full-browser.json</t>
        </is>
      </c>
    </row>
    <row r="19" customFormat="false" ht="46.25" hidden="false" customHeight="false" outlineLevel="0" collapsed="false">
      <c r="A19" s="21" t="s">
        <v>466</v>
      </c>
      <c r="B19" s="17" t="s">
        <v>87</v>
      </c>
      <c r="C19" s="17" t="s">
        <v>467</v>
      </c>
      <c r="D19" s="17" t="s">
        <v>47</v>
      </c>
      <c r="E19" s="20" t="s">
        <v>380</v>
      </c>
      <c r="F19" s="17" t="s">
        <v>389</v>
      </c>
      <c r="G19" s="17" t="s">
        <v>463</v>
      </c>
      <c r="H19" s="17" t="s">
        <v>468</v>
      </c>
      <c r="I19" s="17" t="s">
        <v>469</v>
      </c>
      <c r="J19" s="20" t="s">
        <v>334</v>
      </c>
      <c r="K19" s="22" t="inlineStr">
        <is>
          <t xml:space="preserve">Chrome/MySQL/local mail log; isolated unique email/phone aliases preserve existing accounts. All four missing-character-class passwords rejected without account/mail.</t>
        </is>
      </c>
      <c r="L19" t="inlineStr">
        <is>
          <t xml:space="preserve">PASS</t>
        </is>
      </c>
      <c r="M19" s="22" t="inlineStr">
        <is>
          <t xml:space="preserve">Evidence: regression-final.xml: Tests.Feature.TeacherRegistrationTest::test_tc_buy_017_018_019_password_boundaries_complexity_and_confirmation; buyer-registration-full-browser.json</t>
        </is>
      </c>
    </row>
    <row r="20" customFormat="false" ht="46.25" hidden="false" customHeight="false" outlineLevel="0" collapsed="false">
      <c r="A20" s="21" t="s">
        <v>470</v>
      </c>
      <c r="B20" s="17" t="s">
        <v>87</v>
      </c>
      <c r="C20" s="17" t="s">
        <v>471</v>
      </c>
      <c r="D20" s="17" t="s">
        <v>43</v>
      </c>
      <c r="E20" s="20" t="s">
        <v>380</v>
      </c>
      <c r="F20" s="17" t="s">
        <v>389</v>
      </c>
      <c r="G20" s="17" t="s">
        <v>472</v>
      </c>
      <c r="H20" s="17" t="s">
        <v>473</v>
      </c>
      <c r="I20" s="17" t="s">
        <v>474</v>
      </c>
      <c r="J20" s="20" t="s">
        <v>334</v>
      </c>
      <c r="K20" s="22" t="inlineStr">
        <is>
          <t xml:space="preserve">Chrome/MySQL/local mail log; isolated unique email/phone aliases preserve existing accounts. Mismatched confirmation rejected with password-confirmation message.</t>
        </is>
      </c>
      <c r="L20" t="inlineStr">
        <is>
          <t xml:space="preserve">PASS</t>
        </is>
      </c>
      <c r="M20" s="22" t="inlineStr">
        <is>
          <t xml:space="preserve">Evidence: regression-final.xml: Tests.Feature.TeacherRegistrationTest::test_tc_buy_017_018_019_password_boundaries_complexity_and_confirmation; buyer-registration-full-browser.json</t>
        </is>
      </c>
    </row>
    <row r="21" customFormat="false" ht="23.85" hidden="false" customHeight="false" outlineLevel="0" collapsed="false">
      <c r="A21" s="21" t="s">
        <v>475</v>
      </c>
      <c r="B21" s="17" t="s">
        <v>87</v>
      </c>
      <c r="C21" s="17" t="s">
        <v>476</v>
      </c>
      <c r="D21" s="17" t="s">
        <v>53</v>
      </c>
      <c r="E21" s="20" t="s">
        <v>407</v>
      </c>
      <c r="F21" s="17" t="s">
        <v>389</v>
      </c>
      <c r="G21" s="17" t="s">
        <v>477</v>
      </c>
      <c r="H21" s="17" t="s">
        <v>478</v>
      </c>
      <c r="I21" s="17" t="s">
        <v>479</v>
      </c>
      <c r="J21" s="20" t="s">
        <v>334</v>
      </c>
      <c r="K21" s="22" t="inlineStr">
        <is>
          <t xml:space="preserve">Both password controls have type=password in Chrome.</t>
        </is>
      </c>
      <c r="L21" t="inlineStr">
        <is>
          <t xml:space="preserve">PASS</t>
        </is>
      </c>
      <c r="M21" s="22" t="inlineStr">
        <is>
          <t xml:space="preserve">Evidence: registration-browser.json</t>
        </is>
      </c>
    </row>
    <row r="22" customFormat="false" ht="46.25" hidden="false" customHeight="false" outlineLevel="0" collapsed="false">
      <c r="A22" s="21" t="s">
        <v>480</v>
      </c>
      <c r="B22" s="17" t="s">
        <v>93</v>
      </c>
      <c r="C22" s="17" t="s">
        <v>481</v>
      </c>
      <c r="D22" s="17" t="s">
        <v>43</v>
      </c>
      <c r="E22" s="20" t="s">
        <v>401</v>
      </c>
      <c r="F22" s="17" t="s">
        <v>389</v>
      </c>
      <c r="G22" s="17" t="s">
        <v>482</v>
      </c>
      <c r="H22" s="17" t="s">
        <v>483</v>
      </c>
      <c r="I22" s="17" t="s">
        <v>484</v>
      </c>
      <c r="J22" s="20" t="s">
        <v>322</v>
      </c>
      <c r="K22" s="22" t="inlineStr">
        <is>
          <t xml:space="preserve">Chrome/MySQL/local mail log; isolated unique email/phone aliases preserve existing accounts. Unticked terms block registration with explicit terms message and no new account.</t>
        </is>
      </c>
      <c r="L22" t="inlineStr">
        <is>
          <t xml:space="preserve">PASS</t>
        </is>
      </c>
      <c r="M22" s="22" t="inlineStr">
        <is>
          <t xml:space="preserve">Evidence: regression-final.xml: Tests.Feature.TeacherRegistrationTest::test_tc_buy_021_terms_and_022_duplicate_submission; buyer-registration-full-browser.json; registration-browser.json</t>
        </is>
      </c>
    </row>
    <row r="23" customFormat="false" ht="46.25" hidden="false" customHeight="false" outlineLevel="0" collapsed="false">
      <c r="A23" s="21" t="s">
        <v>485</v>
      </c>
      <c r="B23" s="17" t="s">
        <v>378</v>
      </c>
      <c r="C23" s="17" t="s">
        <v>486</v>
      </c>
      <c r="D23" s="17" t="s">
        <v>53</v>
      </c>
      <c r="E23" s="20" t="s">
        <v>401</v>
      </c>
      <c r="F23" s="17" t="s">
        <v>381</v>
      </c>
      <c r="G23" s="17" t="s">
        <v>487</v>
      </c>
      <c r="H23" s="17" t="s">
        <v>488</v>
      </c>
      <c r="I23" s="17" t="s">
        <v>489</v>
      </c>
      <c r="J23" s="20" t="s">
        <v>328</v>
      </c>
      <c r="K23" s="22" t="inlineStr">
        <is>
          <t xml:space="preserve">Chrome/MySQL/local mail log; isolated unique email/phone aliases preserve existing accounts. Three immediate Register button clicks produced exactly one unverified account and exactly one OTP, without duplicate-email error.</t>
        </is>
      </c>
      <c r="L23" t="inlineStr">
        <is>
          <t xml:space="preserve">PASS</t>
        </is>
      </c>
      <c r="M23" s="22" t="inlineStr">
        <is>
          <t xml:space="preserve">Evidence: regression-final.xml: Tests.Feature.TeacherRegistrationTest::test_tc_buy_021_terms_and_022_duplicate_submission; buyer-registration-full-browser.json</t>
        </is>
      </c>
    </row>
    <row r="24" customFormat="false" ht="68.65" hidden="false" customHeight="false" outlineLevel="0" collapsed="false">
      <c r="A24" s="21" t="s">
        <v>490</v>
      </c>
      <c r="B24" s="17" t="s">
        <v>491</v>
      </c>
      <c r="C24" s="17" t="s">
        <v>492</v>
      </c>
      <c r="D24" s="17" t="s">
        <v>49</v>
      </c>
      <c r="E24" s="20" t="s">
        <v>380</v>
      </c>
      <c r="F24" s="17" t="s">
        <v>493</v>
      </c>
      <c r="G24" s="17" t="s">
        <v>494</v>
      </c>
      <c r="H24" s="17" t="s">
        <v>495</v>
      </c>
      <c r="I24" s="17" t="s">
        <v>496</v>
      </c>
      <c r="J24" s="20" t="s">
        <v>497</v>
      </c>
      <c r="K24" s="22" t="inlineStr">
        <is>
          <t xml:space="preserve">Chrome/MySQL/local mail log; isolated unique email/phone aliases preserve existing accounts. Resend logged a different code; first code rejected while Unverified, replacement accepted within five minutes, status became Active/approved and login showed success.</t>
        </is>
      </c>
      <c r="L24" t="inlineStr">
        <is>
          <t xml:space="preserve">PASS</t>
        </is>
      </c>
      <c r="M24" s="22" t="inlineStr">
        <is>
          <t xml:space="preserve">Evidence: regression-final.xml: Tests.Feature.TeacherRegistrationTest::test_tc_buy_023_024_025_026_027_codes_format_expiry_and_resend; buyer-registration-full-browser.json; registration-browser.json</t>
        </is>
      </c>
    </row>
    <row r="25" customFormat="false" ht="68.65" hidden="false" customHeight="false" outlineLevel="0" collapsed="false">
      <c r="A25" s="21" t="s">
        <v>498</v>
      </c>
      <c r="B25" s="17" t="s">
        <v>491</v>
      </c>
      <c r="C25" s="17" t="s">
        <v>499</v>
      </c>
      <c r="D25" s="17" t="s">
        <v>43</v>
      </c>
      <c r="E25" s="20" t="s">
        <v>380</v>
      </c>
      <c r="F25" s="17" t="s">
        <v>493</v>
      </c>
      <c r="G25" s="17" t="s">
        <v>500</v>
      </c>
      <c r="H25" s="17" t="s">
        <v>501</v>
      </c>
      <c r="I25" s="17" t="s">
        <v>502</v>
      </c>
      <c r="J25" s="20" t="s">
        <v>346</v>
      </c>
      <c r="K25" s="22" t="inlineStr">
        <is>
          <t xml:space="preserve">Chrome/MySQL/local mail log; isolated unique email/phone aliases preserve existing accounts. A code different from actual mail code was rejected and account stayed Unverified.</t>
        </is>
      </c>
      <c r="L25" t="inlineStr">
        <is>
          <t xml:space="preserve">PASS</t>
        </is>
      </c>
      <c r="M25" s="22" t="inlineStr">
        <is>
          <t xml:space="preserve">Evidence: regression-final.xml: Tests.Feature.TeacherRegistrationTest::test_tc_buy_023_024_025_026_027_codes_format_expiry_and_resend; buyer-registration-full-browser.json</t>
        </is>
      </c>
    </row>
    <row r="26" customFormat="false" ht="68.65" hidden="false" customHeight="false" outlineLevel="0" collapsed="false">
      <c r="A26" s="21" t="s">
        <v>503</v>
      </c>
      <c r="B26" s="17" t="s">
        <v>491</v>
      </c>
      <c r="C26" s="17" t="s">
        <v>504</v>
      </c>
      <c r="D26" s="17" t="s">
        <v>43</v>
      </c>
      <c r="E26" s="20" t="s">
        <v>401</v>
      </c>
      <c r="F26" s="17" t="s">
        <v>493</v>
      </c>
      <c r="G26" s="17" t="s">
        <v>505</v>
      </c>
      <c r="H26" s="17" t="s">
        <v>506</v>
      </c>
      <c r="I26" s="17" t="s">
        <v>507</v>
      </c>
      <c r="J26" s="20" t="s">
        <v>346</v>
      </c>
      <c r="K26" s="22" t="inlineStr">
        <is>
          <t xml:space="preserve">Chrome/MySQL/local mail log; isolated unique email/phone aliases preserve existing accounts. Five/seven-digit, alphabetic and blank OTPs rejected by visible native validation; account stayed Unverified.</t>
        </is>
      </c>
      <c r="L26" t="inlineStr">
        <is>
          <t xml:space="preserve">PASS</t>
        </is>
      </c>
      <c r="M26" s="22" t="inlineStr">
        <is>
          <t xml:space="preserve">Evidence: regression-final.xml: Tests.Feature.TeacherRegistrationTest::test_tc_buy_023_024_025_026_027_codes_format_expiry_and_resend; buyer-registration-full-browser.json</t>
        </is>
      </c>
    </row>
    <row r="27" customFormat="false" ht="68.65" hidden="false" customHeight="false" outlineLevel="0" collapsed="false">
      <c r="A27" s="21" t="s">
        <v>508</v>
      </c>
      <c r="B27" s="17" t="s">
        <v>491</v>
      </c>
      <c r="C27" s="17" t="s">
        <v>509</v>
      </c>
      <c r="D27" s="17" t="s">
        <v>45</v>
      </c>
      <c r="E27" s="20" t="s">
        <v>380</v>
      </c>
      <c r="F27" s="17" t="s">
        <v>493</v>
      </c>
      <c r="G27" s="17" t="s">
        <v>510</v>
      </c>
      <c r="H27" s="17" t="s">
        <v>511</v>
      </c>
      <c r="I27" s="17" t="s">
        <v>512</v>
      </c>
      <c r="J27" s="20" t="s">
        <v>346</v>
      </c>
      <c r="K27" s="22" t="inlineStr">
        <is>
          <t xml:space="preserve">Chrome/MySQL/local mail log; isolated unique email/phone aliases preserve existing accounts. Waited at least 5:01 in real elapsed time without token/clock edits; original code rejected as expired, Resend remained available, account stayed Unverified.</t>
        </is>
      </c>
      <c r="L27" t="inlineStr">
        <is>
          <t xml:space="preserve">PASS</t>
        </is>
      </c>
      <c r="M27" s="22" t="inlineStr">
        <is>
          <t xml:space="preserve">Evidence: regression-final.xml: Tests.Feature.TeacherRegistrationTest::test_tc_buy_023_024_025_026_027_codes_format_expiry_and_resend; buyer-registration-full-browser.json</t>
        </is>
      </c>
    </row>
    <row r="28" customFormat="false" ht="68.65" hidden="false" customHeight="false" outlineLevel="0" collapsed="false">
      <c r="A28" s="21" t="s">
        <v>513</v>
      </c>
      <c r="B28" s="17" t="s">
        <v>491</v>
      </c>
      <c r="C28" s="17" t="s">
        <v>514</v>
      </c>
      <c r="D28" s="17" t="s">
        <v>49</v>
      </c>
      <c r="E28" s="20" t="s">
        <v>401</v>
      </c>
      <c r="F28" s="17" t="s">
        <v>493</v>
      </c>
      <c r="G28" s="17" t="s">
        <v>515</v>
      </c>
      <c r="H28" s="17" t="s">
        <v>516</v>
      </c>
      <c r="I28" s="17" t="s">
        <v>517</v>
      </c>
      <c r="J28" s="20" t="s">
        <v>346</v>
      </c>
      <c r="K28" s="22" t="inlineStr">
        <is>
          <t xml:space="preserve">Chrome/MySQL/local mail log; isolated unique email/phone aliases preserve existing accounts. Resend logged a different code; first code rejected while Unverified, replacement accepted within five minutes, status became Active/approved and login showed success.</t>
        </is>
      </c>
      <c r="L28" t="inlineStr">
        <is>
          <t xml:space="preserve">PASS</t>
        </is>
      </c>
      <c r="M28" s="22" t="inlineStr">
        <is>
          <t xml:space="preserve">Evidence: regression-final.xml: Tests.Feature.TeacherRegistrationTest::test_tc_buy_023_024_025_026_027_codes_format_expiry_and_resend; buyer-registration-full-browser.json</t>
        </is>
      </c>
    </row>
    <row r="29" customFormat="false" ht="35.05" hidden="false" customHeight="false" outlineLevel="0" collapsed="false">
      <c r="A29" s="21" t="s">
        <v>518</v>
      </c>
      <c r="B29" s="17" t="s">
        <v>491</v>
      </c>
      <c r="C29" s="17" t="s">
        <v>519</v>
      </c>
      <c r="D29" s="17" t="s">
        <v>49</v>
      </c>
      <c r="E29" s="20" t="s">
        <v>380</v>
      </c>
      <c r="F29" s="17" t="s">
        <v>520</v>
      </c>
      <c r="G29" s="17" t="s">
        <v>521</v>
      </c>
      <c r="H29" s="17" t="s">
        <v>522</v>
      </c>
      <c r="I29" s="17" t="s">
        <v>523</v>
      </c>
      <c r="J29" s="20" t="s">
        <v>497</v>
      </c>
      <c r="K29" s="22" t="inlineStr">
        <is>
          <t xml:space="preserve">Chrome/MySQL/local mail log; isolated unique email/phone aliases preserve existing accounts. Unverified buyer login denied portal access and displayed verification requirement.</t>
        </is>
      </c>
      <c r="L29" t="inlineStr">
        <is>
          <t xml:space="preserve">PASS</t>
        </is>
      </c>
      <c r="M29" s="22" t="inlineStr">
        <is>
          <t xml:space="preserve">Evidence: regression-final.xml: Tests.Feature.TeacherRegistrationTest::test_tc_buy_028_029_030_unverified_login_verified_login_and_role_isolation; buyer-registration-full-browser.json</t>
        </is>
      </c>
    </row>
    <row r="30" customFormat="false" ht="35.05" hidden="false" customHeight="false" outlineLevel="0" collapsed="false">
      <c r="A30" s="21" t="s">
        <v>524</v>
      </c>
      <c r="B30" s="17" t="s">
        <v>525</v>
      </c>
      <c r="C30" s="17" t="s">
        <v>526</v>
      </c>
      <c r="D30" s="17" t="s">
        <v>51</v>
      </c>
      <c r="E30" s="20" t="s">
        <v>380</v>
      </c>
      <c r="F30" s="17" t="s">
        <v>527</v>
      </c>
      <c r="G30" s="17" t="s">
        <v>528</v>
      </c>
      <c r="H30" s="17" t="s">
        <v>522</v>
      </c>
      <c r="I30" s="17" t="s">
        <v>529</v>
      </c>
      <c r="J30" s="20" t="s">
        <v>355</v>
      </c>
      <c r="K30" s="22" t="inlineStr">
        <is>
          <t xml:space="preserve">Chrome/MySQL/local mail log; isolated unique email/phone aliases preserve existing accounts. Verified credentials opened buyer dashboard with Juan Miguel; seller, logistics, rider and admin dashboards each denied access without exposing their data.</t>
        </is>
      </c>
      <c r="L30" t="inlineStr">
        <is>
          <t xml:space="preserve">PASS</t>
        </is>
      </c>
      <c r="M30" s="22" t="inlineStr">
        <is>
          <t xml:space="preserve">Evidence: regression-final.xml: Tests.Feature.TeacherRegistrationTest::test_tc_buy_028_029_030_unverified_login_verified_login_and_role_isolation; buyer-registration-full-browser.json; registration-browser.json</t>
        </is>
      </c>
    </row>
    <row r="31" customFormat="false" ht="46.25" hidden="false" customHeight="false" outlineLevel="0" collapsed="false">
      <c r="A31" s="21" t="s">
        <v>530</v>
      </c>
      <c r="B31" s="17" t="s">
        <v>525</v>
      </c>
      <c r="C31" s="17" t="s">
        <v>531</v>
      </c>
      <c r="D31" s="17" t="s">
        <v>53</v>
      </c>
      <c r="E31" s="20" t="s">
        <v>380</v>
      </c>
      <c r="F31" s="17" t="s">
        <v>532</v>
      </c>
      <c r="G31" s="17" t="s">
        <v>533</v>
      </c>
      <c r="H31" s="17" t="s">
        <v>534</v>
      </c>
      <c r="I31" s="17" t="s">
        <v>535</v>
      </c>
      <c r="J31" s="20" t="s">
        <v>367</v>
      </c>
      <c r="K31" s="22" t="inlineStr">
        <is>
          <t xml:space="preserve">Chrome/MySQL/local mail log; isolated unique email/phone aliases preserve existing accounts. Verified credentials opened buyer dashboard with Juan Miguel; seller, logistics, rider and admin dashboards each denied access without exposing their data.</t>
        </is>
      </c>
      <c r="L31" t="inlineStr">
        <is>
          <t xml:space="preserve">PASS</t>
        </is>
      </c>
      <c r="M31" s="22" t="inlineStr">
        <is>
          <t xml:space="preserve">Evidence: regression-final.xml: Tests.Feature.TeacherRegistrationTest::test_tc_buy_028_029_030_unverified_login_verified_login_and_role_isolation; buyer-registration-full-browser.json</t>
        </is>
      </c>
    </row>
  </sheetData>
  <autoFilter ref="A1:M31"/>
  <conditionalFormatting sqref="L2:L3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2026-10-16T08:39:15Z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