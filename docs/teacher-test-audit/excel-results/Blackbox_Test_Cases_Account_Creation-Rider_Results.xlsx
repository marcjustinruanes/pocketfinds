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Test Data" sheetId="2" state="visible" r:id="rId4"/>
    <sheet name="Test Files" sheetId="3" state="visible" r:id="rId5"/>
    <sheet name="Assumptions" sheetId="4" state="visible" r:id="rId6"/>
    <sheet name="Rider" sheetId="5" state="visible" r:id="rId7"/>
  </sheets>
  <definedNames>
    <definedName function="false" hidden="false" localSheetId="4" name="_xlnm.Print_Titles" vbProcedure="false">Rider!$1:$1</definedName>
    <definedName function="false" hidden="true" localSheetId="4" name="_xlnm._FilterDatabase" vbProcedure="false">Rider!$A$1:$M$33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<sst xmlns="http://schemas.openxmlformats.org/spreadsheetml/2006/main" count="1052" uniqueCount="558">
  <si>
    <t xml:space="preserve">Black-Box Test Cases: Account Creation</t>
  </si>
  <si>
    <t xml:space="preserve">Multi-role e-commerce system (Buyer, Seller, Logistics, Rider)</t>
  </si>
  <si>
    <t xml:space="preserve">Test run details</t>
  </si>
  <si>
    <t xml:space="preserve">System under test</t>
  </si>
  <si>
    <t xml:space="preserve">Version / build</t>
  </si>
  <si>
    <t xml:space="preserve">Test environment (browser, device)</t>
  </si>
  <si>
    <t xml:space="preserve">Tester</t>
  </si>
  <si>
    <t xml:space="preserve">Date tested</t>
  </si>
  <si>
    <t xml:space="preserve">Results by role</t>
  </si>
  <si>
    <t xml:space="preserve">Role (sheet)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</si>
  <si>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</si>
  <si>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</si>
  <si>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</si>
  <si>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</si>
  <si>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</si>
  <si>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 (Pass / Total)</t>
  </si>
  <si>
    <t xml:space="preserve">Buyer</t>
  </si>
  <si>
    <t xml:space="preserve">Seller</t>
  </si>
  <si>
    <t xml:space="preserve">Logistics</t>
  </si>
  <si>
    <t xml:space="preserve">Rider</t>
  </si>
  <si>
    <t xml:space="preserve">Total</t>
  </si>
  <si>
    <t xml:space="preserve">How to use this workbook</t>
  </si>
  <si>
    <t xml:space="preserve">1. Read the Assumptions sheet first. The rules are modeled on Philippine marketplaces, so adjust any case whose rule differs from your system.</t>
  </si>
  <si>
    <t xml:space="preserve">2. The Test Data sheet lists every form field with two ready-made accounts per role. The Test Files sheet lists the upload files to prepare. All people, companies and numbers are fictional.</t>
  </si>
  <si>
    <t xml:space="preserve">3. Emails use example.com, so nothing is delivered to a real inbox. Read OTP and activation emails from a mail catcher such as Mailtrap, or from your application's mail log.</t>
  </si>
  <si>
    <t xml:space="preserve">4. On each role sheet, run the Test Steps with the Test Data and compare what happens with the Expected Result. Use a spare email and mobile number from the Test Data sheet whenever a value marked (accept) creates another account.</t>
  </si>
  <si>
    <t xml:space="preserve">5. Dates of birth and license expiry dates in the boundary cases are calculated from today's date, so they are always correct on the day you test.</t>
  </si>
  <si>
    <t xml:space="preserve">6. Fill in only the yellow cells: Actual Result, Status and Remarks. Pick the Status from the dropdown (Pass, Fail, Blocked, Not Run).</t>
  </si>
  <si>
    <t xml:space="preserve">7. Pass = actual matches expected. Fail = it does not (describe what happened and add a screenshot or bug number in Remarks). Blocked = the case could not be run, for example because an earlier case failed.</t>
  </si>
  <si>
    <t xml:space="preserve">8. The Results by role table above updates automatically from the Status column.</t>
  </si>
  <si>
    <t xml:space="preserve">Example of a filled-in row (illustration only, not a real result)</t>
  </si>
  <si>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</si>
  <si>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</si>
  <si>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</si>
  <si>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</si>
  <si>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</si>
  <si>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</si>
  <si>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TC-BUY-010</t>
  </si>
  <si>
    <t xml:space="preserve">Email that is already registered</t>
  </si>
  <si>
    <t xml:space="preserve">Registration is blocked. A message says the email is already in use. No account is created.</t>
  </si>
  <si>
    <t xml:space="preserve">No message was shown. A second account was created with juanmiguel.delacruz@example.com.</t>
  </si>
  <si>
    <t xml:space="preserve">Bug #012. Screenshot: buy-010.png</t>
  </si>
  <si>
    <t xml:space="preserve">Black-box techniques used</t>
  </si>
  <si>
    <t xml:space="preserve">Equivalence Partitioning</t>
  </si>
  <si>
    <t xml:space="preserve">Inputs are grouped into valid and invalid classes, and one value from each class is tested.</t>
  </si>
  <si>
    <t xml:space="preserve">Boundary Value Analysis</t>
  </si>
  <si>
    <t xml:space="preserve">Values at and just beyond a limit are tested, for example 7 and 8 characters for a minimum of 8.</t>
  </si>
  <si>
    <t xml:space="preserve">Decision Table</t>
  </si>
  <si>
    <t xml:space="preserve">Combinations of conditions are tested, for example each missing password character type.</t>
  </si>
  <si>
    <t xml:space="preserve">State Transition</t>
  </si>
  <si>
    <t xml:space="preserve">Changes in account status are tested, for example Unverified to Active or Pending Approval to Approved.</t>
  </si>
  <si>
    <t xml:space="preserve">Use Case Testing</t>
  </si>
  <si>
    <t xml:space="preserve">A complete user flow is tested from start to finish with valid data.</t>
  </si>
  <si>
    <t xml:space="preserve">Error Guessing</t>
  </si>
  <si>
    <t xml:space="preserve">Likely mistakes are tested based on experience, for example double-clicking Register or pasting another role's URL.</t>
  </si>
  <si>
    <t xml:space="preserve">Test data and input details</t>
  </si>
  <si>
    <t xml:space="preserve">Every form field per role, with its rule and two complete sets of valid data. Account 1 is the main account in the test cases. Account 2 is for cases that need a second account. All people, companies, numbers and addresses are fictional.</t>
  </si>
  <si>
    <t xml:space="preserve">Buyer: Self-registration</t>
  </si>
  <si>
    <t xml:space="preserve">Role</t>
  </si>
  <si>
    <t xml:space="preserve">Field</t>
  </si>
  <si>
    <t xml:space="preserve">Required</t>
  </si>
  <si>
    <t xml:space="preserve">Input type</t>
  </si>
  <si>
    <t xml:space="preserve">Format / rule</t>
  </si>
  <si>
    <t xml:space="preserve">Account 1 (valid)</t>
  </si>
  <si>
    <t xml:space="preserve">Account 2 (valid)</t>
  </si>
  <si>
    <t xml:space="preserve">First Name</t>
  </si>
  <si>
    <t xml:space="preserve">Yes</t>
  </si>
  <si>
    <t xml:space="preserve">Text</t>
  </si>
  <si>
    <t xml:space="preserve">2 to 50 characters; letters, spaces, hyphen, apostrophe, period</t>
  </si>
  <si>
    <t xml:space="preserve">Juan Miguel</t>
  </si>
  <si>
    <t xml:space="preserve">Ana Marie</t>
  </si>
  <si>
    <t xml:space="preserve">Last Name</t>
  </si>
  <si>
    <t xml:space="preserve">Dela Cruz</t>
  </si>
  <si>
    <t xml:space="preserve">Reyes</t>
  </si>
  <si>
    <t xml:space="preserve">Email</t>
  </si>
  <si>
    <t xml:space="preserve">Valid email format; unique</t>
  </si>
  <si>
    <t xml:space="preserve">juanmiguel.delacruz@example.com</t>
  </si>
  <si>
    <t xml:space="preserve">anamarie.reyes@example.com</t>
  </si>
  <si>
    <t xml:space="preserve">Mobile Number</t>
  </si>
  <si>
    <t xml:space="preserve">09XXXXXXXXX or +639XXXXXXXXX; unique</t>
  </si>
  <si>
    <t xml:space="preserve">09171234567</t>
  </si>
  <si>
    <t xml:space="preserve">09173456789</t>
  </si>
  <si>
    <t xml:space="preserve">Date of Birth</t>
  </si>
  <si>
    <t xml:space="preserve">Date picker</t>
  </si>
  <si>
    <t xml:space="preserve">At least 18 years old</t>
  </si>
  <si>
    <t xml:space="preserve">05/14/1998</t>
  </si>
  <si>
    <t xml:space="preserve">11/02/2001</t>
  </si>
  <si>
    <t xml:space="preserve">Password</t>
  </si>
  <si>
    <t xml:space="preserve">Min 8 characters; uppercase, lowercase, number, special character</t>
  </si>
  <si>
    <t xml:space="preserve">Mamimili@2026</t>
  </si>
  <si>
    <t xml:space="preserve">Suki#2026Ana</t>
  </si>
  <si>
    <t xml:space="preserve">Confirm Password</t>
  </si>
  <si>
    <t xml:space="preserve">Must match Password</t>
  </si>
  <si>
    <t xml:space="preserve">Terms and Privacy Policy</t>
  </si>
  <si>
    <t xml:space="preserve">Checkbox</t>
  </si>
  <si>
    <t xml:space="preserve">Must be ticked</t>
  </si>
  <si>
    <t xml:space="preserve">Ticked</t>
  </si>
  <si>
    <t xml:space="preserve">Seller: Self-registration, then admin approval</t>
  </si>
  <si>
    <t xml:space="preserve">Maria Clara</t>
  </si>
  <si>
    <t xml:space="preserve">Roberto</t>
  </si>
  <si>
    <t xml:space="preserve">Santos</t>
  </si>
  <si>
    <t xml:space="preserve">Villanueva</t>
  </si>
  <si>
    <t xml:space="preserve">mariaclara.santos@example.com</t>
  </si>
  <si>
    <t xml:space="preserve">roberto.villanueva@example.com</t>
  </si>
  <si>
    <t xml:space="preserve">09189876543</t>
  </si>
  <si>
    <t xml:space="preserve">09194567890</t>
  </si>
  <si>
    <t xml:space="preserve">Shop Name</t>
  </si>
  <si>
    <t xml:space="preserve">3 to 30 characters; unique</t>
  </si>
  <si>
    <t xml:space="preserve">Maria Clara Handicrafts</t>
  </si>
  <si>
    <t xml:space="preserve">RV Gadget Hub</t>
  </si>
  <si>
    <t xml:space="preserve">Shop Category</t>
  </si>
  <si>
    <t xml:space="preserve">Dropdown</t>
  </si>
  <si>
    <t xml:space="preserve">One main category</t>
  </si>
  <si>
    <t xml:space="preserve">Home &amp; Living</t>
  </si>
  <si>
    <t xml:space="preserve">Mobiles &amp; Gadgets</t>
  </si>
  <si>
    <t xml:space="preserve">Seller Type</t>
  </si>
  <si>
    <t xml:space="preserve">Individual, Sole Proprietorship or Corporation</t>
  </si>
  <si>
    <t xml:space="preserve">Sole Proprietorship</t>
  </si>
  <si>
    <t xml:space="preserve">Corporation</t>
  </si>
  <si>
    <t xml:space="preserve">TIN</t>
  </si>
  <si>
    <t xml:space="preserve">000-000-000-000 (12 digits); unique</t>
  </si>
  <si>
    <t xml:space="preserve">123-456-789-000</t>
  </si>
  <si>
    <t xml:space="preserve">456-789-012-000</t>
  </si>
  <si>
    <t xml:space="preserve">Region</t>
  </si>
  <si>
    <t xml:space="preserve">Philippine regions</t>
  </si>
  <si>
    <t xml:space="preserve">National Capital Region (NCR)</t>
  </si>
  <si>
    <t xml:space="preserve">Region VII (Central Visayas)</t>
  </si>
  <si>
    <t xml:space="preserve">Province</t>
  </si>
  <si>
    <t xml:space="preserve">Filtered by Region</t>
  </si>
  <si>
    <t xml:space="preserve">Metro Manila</t>
  </si>
  <si>
    <t xml:space="preserve">Cebu</t>
  </si>
  <si>
    <t xml:space="preserve">City / Municipality</t>
  </si>
  <si>
    <t xml:space="preserve">Filtered by Province</t>
  </si>
  <si>
    <t xml:space="preserve">Quezon City</t>
  </si>
  <si>
    <t xml:space="preserve">Cebu City</t>
  </si>
  <si>
    <t xml:space="preserve">Barangay</t>
  </si>
  <si>
    <t xml:space="preserve">Filtered by City / Municipality</t>
  </si>
  <si>
    <t xml:space="preserve">Commonwealth</t>
  </si>
  <si>
    <t xml:space="preserve">Lahug</t>
  </si>
  <si>
    <t xml:space="preserve">Street Address</t>
  </si>
  <si>
    <t xml:space="preserve">House, unit or lot number and street</t>
  </si>
  <si>
    <t xml:space="preserve">Blk 12 Lot 8, Sampaguita St.</t>
  </si>
  <si>
    <t xml:space="preserve">2F, 45 Gorordo Ave.</t>
  </si>
  <si>
    <t xml:space="preserve">Postal Code</t>
  </si>
  <si>
    <t xml:space="preserve">Exactly 4 digits</t>
  </si>
  <si>
    <t xml:space="preserve">1121</t>
  </si>
  <si>
    <t xml:space="preserve">6000</t>
  </si>
  <si>
    <t xml:space="preserve">Government-issued ID (upload)</t>
  </si>
  <si>
    <t xml:space="preserve">File</t>
  </si>
  <si>
    <t xml:space="preserve">JPG, PNG or PDF; max 5 MB</t>
  </si>
  <si>
    <t xml:space="preserve">govt_id_front.jpg (1.2 MB)</t>
  </si>
  <si>
    <t xml:space="preserve">govt_id_front.png (2.4 MB)</t>
  </si>
  <si>
    <t xml:space="preserve">DTI Certificate (upload)</t>
  </si>
  <si>
    <t xml:space="preserve">Sole Proprietorship only</t>
  </si>
  <si>
    <t xml:space="preserve">dti_certificate.pdf (850 KB)</t>
  </si>
  <si>
    <t xml:space="preserve">Not applicable</t>
  </si>
  <si>
    <t xml:space="preserve">SEC Certificate (upload)</t>
  </si>
  <si>
    <t xml:space="preserve">Corporation only</t>
  </si>
  <si>
    <t xml:space="preserve">sec_certificate.pdf (1.0 MB)</t>
  </si>
  <si>
    <t xml:space="preserve">BIR Form 2303 (upload)</t>
  </si>
  <si>
    <t xml:space="preserve">Sole Proprietorship and Corporation</t>
  </si>
  <si>
    <t xml:space="preserve">bir_2303.pdf (1.1 MB)</t>
  </si>
  <si>
    <t xml:space="preserve">Tindahan@2026</t>
  </si>
  <si>
    <t xml:space="preserve">Gadget#Hub26</t>
  </si>
  <si>
    <t xml:space="preserve">Logistics: Self-registration, then admin approval</t>
  </si>
  <si>
    <t xml:space="preserve">Company Name</t>
  </si>
  <si>
    <t xml:space="preserve">Unique</t>
  </si>
  <si>
    <t xml:space="preserve">Bilis Hatid Express Inc.</t>
  </si>
  <si>
    <t xml:space="preserve">Agila Cargo Movers Corp.</t>
  </si>
  <si>
    <t xml:space="preserve">SEC Registration No.</t>
  </si>
  <si>
    <t xml:space="preserve">2 letters followed by 9 digits; unique</t>
  </si>
  <si>
    <t xml:space="preserve">CS202012345</t>
  </si>
  <si>
    <t xml:space="preserve">CS201998765</t>
  </si>
  <si>
    <t xml:space="preserve">234-567-890-000</t>
  </si>
  <si>
    <t xml:space="preserve">567-890-123-000</t>
  </si>
  <si>
    <t xml:space="preserve">Region XI (Davao Region)</t>
  </si>
  <si>
    <t xml:space="preserve">Davao del Sur</t>
  </si>
  <si>
    <t xml:space="preserve">Pasig City</t>
  </si>
  <si>
    <t xml:space="preserve">Davao City</t>
  </si>
  <si>
    <t xml:space="preserve">Kapitolyo</t>
  </si>
  <si>
    <t xml:space="preserve">Buhangin</t>
  </si>
  <si>
    <t xml:space="preserve">Unit 5B, 88 West Capitol Drive</t>
  </si>
  <si>
    <t xml:space="preserve">Door 3, 210 Sampaguita St.</t>
  </si>
  <si>
    <t xml:space="preserve">1603</t>
  </si>
  <si>
    <t xml:space="preserve">8000</t>
  </si>
  <si>
    <t xml:space="preserve">Contact Person First Name</t>
  </si>
  <si>
    <t xml:space="preserve">Carlos Antonio</t>
  </si>
  <si>
    <t xml:space="preserve">Liza Mae</t>
  </si>
  <si>
    <t xml:space="preserve">Contact Person Last Name</t>
  </si>
  <si>
    <t xml:space="preserve">Mendoza</t>
  </si>
  <si>
    <t xml:space="preserve">Fernandez</t>
  </si>
  <si>
    <t xml:space="preserve">Position</t>
  </si>
  <si>
    <t xml:space="preserve">Job title of the contact person</t>
  </si>
  <si>
    <t xml:space="preserve">Operations Manager</t>
  </si>
  <si>
    <t xml:space="preserve">General Manager</t>
  </si>
  <si>
    <t xml:space="preserve">operations@bilishatid.example.com</t>
  </si>
  <si>
    <t xml:space="preserve">admin@agilacargo.example.com</t>
  </si>
  <si>
    <t xml:space="preserve">09285551234</t>
  </si>
  <si>
    <t xml:space="preserve">09396667890</t>
  </si>
  <si>
    <t xml:space="preserve">Service Areas</t>
  </si>
  <si>
    <t xml:space="preserve">Multi-select</t>
  </si>
  <si>
    <t xml:space="preserve">At least one region</t>
  </si>
  <si>
    <t xml:space="preserve">NCR; Region IV-A (CALABARZON)</t>
  </si>
  <si>
    <t xml:space="preserve">Mayor's / Business Permit (upload)</t>
  </si>
  <si>
    <t xml:space="preserve">mayors_permit.pdf (1.3 MB)</t>
  </si>
  <si>
    <t xml:space="preserve">Valid ID of Authorized Representative (upload)</t>
  </si>
  <si>
    <t xml:space="preserve">Hatid@2026</t>
  </si>
  <si>
    <t xml:space="preserve">Agila#Cargo26</t>
  </si>
  <si>
    <t xml:space="preserve">Rider: Created by an Approved logistics account</t>
  </si>
  <si>
    <t xml:space="preserve">Pedro Jose</t>
  </si>
  <si>
    <t xml:space="preserve">Mark Anthony</t>
  </si>
  <si>
    <t xml:space="preserve">Garcia</t>
  </si>
  <si>
    <t xml:space="preserve">Bautista</t>
  </si>
  <si>
    <t xml:space="preserve">03/22/1995</t>
  </si>
  <si>
    <t xml:space="preserve">08/09/1999</t>
  </si>
  <si>
    <t xml:space="preserve">pedrojose.garcia@example.com</t>
  </si>
  <si>
    <t xml:space="preserve">markanthony.bautista@example.com</t>
  </si>
  <si>
    <t xml:space="preserve">09451239876</t>
  </si>
  <si>
    <t xml:space="preserve">09662345678</t>
  </si>
  <si>
    <t xml:space="preserve">Driver's License No.</t>
  </si>
  <si>
    <t xml:space="preserve">A00-00-000000; unique</t>
  </si>
  <si>
    <t xml:space="preserve">N01-23-456789</t>
  </si>
  <si>
    <t xml:space="preserve">D05-19-123456</t>
  </si>
  <si>
    <t xml:space="preserve">License Expiry Date</t>
  </si>
  <si>
    <t xml:space="preserve">Today or later</t>
  </si>
  <si>
    <t xml:space="preserve">03/22/2030</t>
  </si>
  <si>
    <t xml:space="preserve">08/09/2031</t>
  </si>
  <si>
    <t xml:space="preserve">Vehicle Type</t>
  </si>
  <si>
    <t xml:space="preserve">Motorcycle, Car or Van</t>
  </si>
  <si>
    <t xml:space="preserve">Motorcycle</t>
  </si>
  <si>
    <t xml:space="preserve">Van</t>
  </si>
  <si>
    <t xml:space="preserve">Plate Number</t>
  </si>
  <si>
    <t xml:space="preserve">123ABC</t>
  </si>
  <si>
    <t xml:space="preserve">NBC1234</t>
  </si>
  <si>
    <t xml:space="preserve">Driver's License (upload)</t>
  </si>
  <si>
    <t xml:space="preserve">drivers_license.jpg (1.5 MB)</t>
  </si>
  <si>
    <t xml:space="preserve">drivers_license.png (2.0 MB)</t>
  </si>
  <si>
    <t xml:space="preserve">Vehicle OR/CR (upload)</t>
  </si>
  <si>
    <t xml:space="preserve">or_cr.pdf (900 KB)</t>
  </si>
  <si>
    <t xml:space="preserve">Password (set by the rider at activation)</t>
  </si>
  <si>
    <t xml:space="preserve">Rider@2026</t>
  </si>
  <si>
    <t xml:space="preserve">Hatid#Mark26</t>
  </si>
  <si>
    <t xml:space="preserve">Other values</t>
  </si>
  <si>
    <t xml:space="preserve">Spare emails for repeat attempts</t>
  </si>
  <si>
    <t xml:space="preserve">buyer.test01@example.com to buyer.test10@example.com (same pattern for seller.test, logistics.test and rider.test)</t>
  </si>
  <si>
    <t xml:space="preserve">Spare mobile numbers for repeat attempts</t>
  </si>
  <si>
    <t xml:space="preserve">09170000001 to 09170000020</t>
  </si>
  <si>
    <t xml:space="preserve">Admin account for approval tests</t>
  </si>
  <si>
    <t xml:space="preserve">Use the admin account already seeded in your system</t>
  </si>
  <si>
    <t xml:space="preserve">Upload files to prepare</t>
  </si>
  <si>
    <t xml:space="preserve">Prepare these files before testing the document uploads. Use sample or blank documents, not anyone's real ID or certificate. The size limit is 5 MB, which is 5,120 KB or 5,242,880 bytes.</t>
  </si>
  <si>
    <t xml:space="preserve">File name</t>
  </si>
  <si>
    <t xml:space="preserve">Type</t>
  </si>
  <si>
    <t xml:space="preserve">Size</t>
  </si>
  <si>
    <t xml:space="preserve">Used for</t>
  </si>
  <si>
    <t xml:space="preserve">Expected result</t>
  </si>
  <si>
    <t xml:space="preserve">govt_id_front.jpg</t>
  </si>
  <si>
    <t xml:space="preserve">JPG</t>
  </si>
  <si>
    <t xml:space="preserve">1.2 MB</t>
  </si>
  <si>
    <t xml:space="preserve">Valid government ID</t>
  </si>
  <si>
    <t xml:space="preserve">Accept</t>
  </si>
  <si>
    <t xml:space="preserve">govt_id_front.png</t>
  </si>
  <si>
    <t xml:space="preserve">PNG</t>
  </si>
  <si>
    <t xml:space="preserve">2.4 MB</t>
  </si>
  <si>
    <t xml:space="preserve">Valid government ID in PNG</t>
  </si>
  <si>
    <t xml:space="preserve">dti_certificate.pdf</t>
  </si>
  <si>
    <t xml:space="preserve">PDF</t>
  </si>
  <si>
    <t xml:space="preserve">850 KB</t>
  </si>
  <si>
    <t xml:space="preserve">DTI Certificate of Business Name Registration</t>
  </si>
  <si>
    <t xml:space="preserve">dti_certificate_clear.pdf</t>
  </si>
  <si>
    <t xml:space="preserve">1.0 MB</t>
  </si>
  <si>
    <t xml:space="preserve">Replacement document for the resubmit test (seller)</t>
  </si>
  <si>
    <t xml:space="preserve">sec_certificate.pdf</t>
  </si>
  <si>
    <t xml:space="preserve">SEC Certificate of Registration</t>
  </si>
  <si>
    <t xml:space="preserve">bir_2303.pdf</t>
  </si>
  <si>
    <t xml:space="preserve">1.1 MB</t>
  </si>
  <si>
    <t xml:space="preserve">BIR Certificate of Registration (Form 2303)</t>
  </si>
  <si>
    <t xml:space="preserve">mayors_permit.pdf</t>
  </si>
  <si>
    <t xml:space="preserve">1.3 MB</t>
  </si>
  <si>
    <t xml:space="preserve">Mayor's / Business Permit</t>
  </si>
  <si>
    <t xml:space="preserve">mayors_permit_2026.pdf</t>
  </si>
  <si>
    <t xml:space="preserve">Replacement document for the resubmit test (logistics)</t>
  </si>
  <si>
    <t xml:space="preserve">drivers_license.jpg</t>
  </si>
  <si>
    <t xml:space="preserve">1.5 MB</t>
  </si>
  <si>
    <t xml:space="preserve">Rider's driver's license</t>
  </si>
  <si>
    <t xml:space="preserve">drivers_license.png</t>
  </si>
  <si>
    <t xml:space="preserve">2.0 MB</t>
  </si>
  <si>
    <t xml:space="preserve">Rider's driver's license in PNG</t>
  </si>
  <si>
    <t xml:space="preserve">drivers_license.pdf</t>
  </si>
  <si>
    <t xml:space="preserve">700 KB</t>
  </si>
  <si>
    <t xml:space="preserve">Rider's driver's license in PDF</t>
  </si>
  <si>
    <t xml:space="preserve">or_cr.pdf</t>
  </si>
  <si>
    <t xml:space="preserve">900 KB</t>
  </si>
  <si>
    <t xml:space="preserve">Vehicle Official Receipt and Certificate of Registration</t>
  </si>
  <si>
    <t xml:space="preserve">size_4.9MB.jpg</t>
  </si>
  <si>
    <t xml:space="preserve">4.9 MB (5,138,022 bytes)</t>
  </si>
  <si>
    <t xml:space="preserve">Just under the size limit</t>
  </si>
  <si>
    <t xml:space="preserve">size_5.0MB.jpg</t>
  </si>
  <si>
    <t xml:space="preserve">5.0 MB (5,242,880 bytes)</t>
  </si>
  <si>
    <t xml:space="preserve">Exactly at the size limit</t>
  </si>
  <si>
    <t xml:space="preserve">size_5.1MB.jpg</t>
  </si>
  <si>
    <t xml:space="preserve">5.1 MB (5,347,738 bytes)</t>
  </si>
  <si>
    <t xml:space="preserve">Just over the size limit</t>
  </si>
  <si>
    <t xml:space="preserve">Reject</t>
  </si>
  <si>
    <t xml:space="preserve">price_list.docx</t>
  </si>
  <si>
    <t xml:space="preserve">DOCX</t>
  </si>
  <si>
    <t xml:space="preserve">320 KB</t>
  </si>
  <si>
    <t xml:space="preserve">Wrong file type (Word document)</t>
  </si>
  <si>
    <t xml:space="preserve">store_banner.gif</t>
  </si>
  <si>
    <t xml:space="preserve">GIF</t>
  </si>
  <si>
    <t xml:space="preserve">480 KB</t>
  </si>
  <si>
    <t xml:space="preserve">Wrong file type (GIF image)</t>
  </si>
  <si>
    <t xml:space="preserve">installer.exe</t>
  </si>
  <si>
    <t xml:space="preserve">EXE</t>
  </si>
  <si>
    <t xml:space="preserve">2.1 MB</t>
  </si>
  <si>
    <t xml:space="preserve">Wrong file type (program)</t>
  </si>
  <si>
    <t xml:space="preserve">Assumptions used in the test cases</t>
  </si>
  <si>
    <t xml:space="preserve">These rules are modeled on Philippine marketplaces, not taken from your actual system. Write your real rule in column D where it differs, then filter the Assumption Ref column on each role sheet to find the test cases to adjust.</t>
  </si>
  <si>
    <t xml:space="preserve">Ref</t>
  </si>
  <si>
    <t xml:space="preserve">Topic</t>
  </si>
  <si>
    <t xml:space="preserve">Assumed rule</t>
  </si>
  <si>
    <t xml:space="preserve">Your system's actual rule (fill in if different)</t>
  </si>
  <si>
    <t xml:space="preserve">A1</t>
  </si>
  <si>
    <t xml:space="preserve">Form fields</t>
  </si>
  <si>
    <t xml:space="preserve">Each role's form has the fields listed on the Test Data sheet, modeled on Philippine marketplaces. Payout details (bank or e-wallet) are set up after approval, not during registration.</t>
  </si>
  <si>
    <t xml:space="preserve">A2</t>
  </si>
  <si>
    <t xml:space="preserve">Name rule</t>
  </si>
  <si>
    <t xml:space="preserve">2 to 50 characters. Letters (including ñ), spaces, hyphen, apostrophe and period only.</t>
  </si>
  <si>
    <t xml:space="preserve">A3</t>
  </si>
  <si>
    <t xml:space="preserve">Email rule</t>
  </si>
  <si>
    <t xml:space="preserve">Must be a valid email format. Unique across all roles (one email = one account). Not case-sensitive. Leading and trailing spaces are removed.</t>
  </si>
  <si>
    <t xml:space="preserve">A4</t>
  </si>
  <si>
    <t xml:space="preserve">Mobile number rule</t>
  </si>
  <si>
    <t xml:space="preserve">Philippine mobile number entered as 09XXXXXXXXX (11 digits) or +639XXXXXXXXX. Both forms are stored as the same number. Unique across all accounts.</t>
  </si>
  <si>
    <t xml:space="preserve">A5</t>
  </si>
  <si>
    <t xml:space="preserve">Password rule</t>
  </si>
  <si>
    <t xml:space="preserve">At least 8 characters with at least one uppercase letter, one lowercase letter, one number and one special character. Confirm Password must match.</t>
  </si>
  <si>
    <t xml:space="preserve">A6</t>
  </si>
  <si>
    <t xml:space="preserve">Date of birth rule</t>
  </si>
  <si>
    <t xml:space="preserve">Buyers and riders must be at least 18 years old on the day of registration. A future date is not allowed.</t>
  </si>
  <si>
    <t xml:space="preserve">A7</t>
  </si>
  <si>
    <t xml:space="preserve">Address rule</t>
  </si>
  <si>
    <t xml:space="preserve">Region, Province, City/Municipality and Barangay are linked dropdowns: each list depends on the one before it. Postal Code is exactly 4 digits.</t>
  </si>
  <si>
    <t xml:space="preserve">A8</t>
  </si>
  <si>
    <t xml:space="preserve">TIN rule</t>
  </si>
  <si>
    <t xml:space="preserve">12 digits in the form 000-000-000-000 (9-digit TIN plus 3-digit branch code). Unique across seller and logistics accounts.</t>
  </si>
  <si>
    <t xml:space="preserve">A9</t>
  </si>
  <si>
    <t xml:space="preserve">Email verification (OTP)</t>
  </si>
  <si>
    <t xml:space="preserve">A 6-digit numeric code is emailed after registration. It is valid for 5 minutes. Resending creates a new code and cancels the old one. An account cannot be used until it is verified.</t>
  </si>
  <si>
    <t xml:space="preserve">A10</t>
  </si>
  <si>
    <t xml:space="preserve">Document upload rule</t>
  </si>
  <si>
    <t xml:space="preserve">Accepted file types: JPG, PNG, PDF. Maximum size: 5 MB (5,120 KB) per file.</t>
  </si>
  <si>
    <t xml:space="preserve">A11</t>
  </si>
  <si>
    <t xml:space="preserve">Seller documents by seller type</t>
  </si>
  <si>
    <t xml:space="preserve">Individual: Government-issued ID. Sole Proprietorship: Government-issued ID, DTI Certificate and BIR Form 2303. Corporation: Government-issued ID of the representative, SEC Certificate and BIR Form 2303.</t>
  </si>
  <si>
    <t xml:space="preserve">A12</t>
  </si>
  <si>
    <t xml:space="preserve">Account status flow</t>
  </si>
  <si>
    <t xml:space="preserve">Buyer: Unverified, then Active after OTP. Seller and Logistics: Unverified, then Pending Approval after OTP, then Approved or Rejected by an admin. A rejected applicant can correct the details and resubmit.</t>
  </si>
  <si>
    <t xml:space="preserve">A13</t>
  </si>
  <si>
    <t xml:space="preserve">Rider account flow</t>
  </si>
  <si>
    <t xml:space="preserve">Riders cannot register themselves. Only an Approved logistics account can create a rider. The rider starts as Pending Activation and becomes Active after setting a password through an emailed activation link, which is valid for 24 hours. Riders do not need separate admin approval.</t>
  </si>
  <si>
    <t xml:space="preserve">A14</t>
  </si>
  <si>
    <t xml:space="preserve">Unique business identifiers</t>
  </si>
  <si>
    <t xml:space="preserve">Shop Name (3 to 30 characters), Company Name, SEC Registration No. (2 letters followed by 9 digits), Driver's License No. and Plate Number must each be unique.</t>
  </si>
  <si>
    <t xml:space="preserve">A15</t>
  </si>
  <si>
    <t xml:space="preserve">Driver's license rule</t>
  </si>
  <si>
    <t xml:space="preserve">License number follows the LTO form A00-00-000000 (1 letter and 11 digits). The expiry date must be today or a later date.</t>
  </si>
  <si>
    <t xml:space="preserve">A16</t>
  </si>
  <si>
    <t xml:space="preserve">Role-based access</t>
  </si>
  <si>
    <t xml:space="preserve">Each role can open only its own pages. Opening another role's page is denied (error 403 or redirect).</t>
  </si>
  <si>
    <t xml:space="preserve">Module</t>
  </si>
  <si>
    <t xml:space="preserve">Technique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</si>
  <si>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</si>
  <si>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</si>
  <si>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</si>
  <si>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</si>
  <si>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Assumption Ref</t>
  </si>
  <si>
    <t xml:space="preserve">TC-RID-001</t>
  </si>
  <si>
    <t xml:space="preserve">Add Rider Form</t>
  </si>
  <si>
    <t xml:space="preserve">Create a rider with all valid data</t>
  </si>
  <si>
    <t xml:space="preserve">High</t>
  </si>
  <si>
    <t xml:space="preserve">The Approved logistics account operations@bilishatid.example.com is logged in and the Add Rider form is open. The email, mobile number, license number and plate number in the test data are not yet registered.</t>
  </si>
  <si>
    <t xml:space="preserve">1. Fill in every field with the test data.
2. Click Save.</t>
  </si>
  <si>
    <t xml:space="preserve">First Name: Pedro Jose
Last Name: Garcia
Date of Birth: 03/22/1995
Email: pedrojose.garcia@example.com
Mobile Number: 09451239876
Driver's License No.: N01-23-456789
License Expiry Date: 03/22/2030
Vehicle Type: Motorcycle
Plate Number: 123ABC
Driver's License (upload): drivers_license.jpg (1.5 MB)
Vehicle OR/CR (upload): or_cr.pdf (900 KB)</t>
  </si>
  <si>
    <t xml:space="preserve">The rider is saved with no validation errors and appears in the rider list of Bilis Hatid Express Inc. with status Pending Activation. An activation email is sent to pedrojose.garcia@example.com.</t>
  </si>
  <si>
    <t xml:space="preserve">A1, A13</t>
  </si>
  <si>
    <t xml:space="preserve">TC-RID-002</t>
  </si>
  <si>
    <t xml:space="preserve">Required Fields</t>
  </si>
  <si>
    <t xml:space="preserve">Submit a completely empty form</t>
  </si>
  <si>
    <t xml:space="preserve">The Approved logistics account operations@bilishatid.example.com is logged in and the Add Rider form is open.</t>
  </si>
  <si>
    <t xml:space="preserve">1. Leave every field blank and every dropdown on its default option.
2. Click Save.</t>
  </si>
  <si>
    <t xml:space="preserve">All fields blank</t>
  </si>
  <si>
    <t xml:space="preserve">Saving is blocked. A required-field message is shown for every mandatory field. No rider is created and no email is sent.</t>
  </si>
  <si>
    <t xml:space="preserve">TC-RID-003</t>
  </si>
  <si>
    <t xml:space="preserve">Leave one required field blank at a time</t>
  </si>
  <si>
    <t xml:space="preserve">1. Fill in all fields with valid data.
2. Clear one required field.
3. Click Save.
4. Repeat for each field in the test data.</t>
  </si>
  <si>
    <t xml:space="preserve">Clear in turn:
First Name
Last Name
Date of Birth
Email
Mobile Number
Driver's License No.
License Expiry Date
Vehicle Type
Plate Number
Driver's License (upload)
Vehicle OR/CR (upload)</t>
  </si>
  <si>
    <t xml:space="preserve">Each time, saving is blocked and a required-field message is shown on the blank field only. Other entered values (except uploads) are kept. No rider is created.</t>
  </si>
  <si>
    <t xml:space="preserve">TC-RID-004</t>
  </si>
  <si>
    <t xml:space="preserve">Name</t>
  </si>
  <si>
    <t xml:space="preserve">Name with numbers or symbols</t>
  </si>
  <si>
    <t xml:space="preserve">Medium</t>
  </si>
  <si>
    <t xml:space="preserve">1. Fill in all other fields with valid data.
2. Enter the test data in the name fields.
3. Click Save.</t>
  </si>
  <si>
    <t xml:space="preserve">First Name: Pedro Jose99
Last Name: Dela Cruz@#</t>
  </si>
  <si>
    <t xml:space="preserve">Saving is blocked. A message on each name field says only letters are allowed.</t>
  </si>
  <si>
    <t xml:space="preserve">TC-RID-005</t>
  </si>
  <si>
    <t xml:space="preserve">Name length at the limits</t>
  </si>
  <si>
    <t xml:space="preserve">1. Fill in all other fields with valid data.
2. Enter each first name in the test data, one per attempt.
3. Click Save.</t>
  </si>
  <si>
    <t xml:space="preserve">1 character: P (reject)
2 characters: Po (accept)
50 characters: Maria Cristina Angelica Bernadette Josefina Leonor (accept)
51 characters: Maria Cristina Angelica Bernadette Josefina Leonora (reject)</t>
  </si>
  <si>
    <t xml:space="preserve">1 and 51 characters are rejected with a length message. 2 and 50 characters are accepted.</t>
  </si>
  <si>
    <t xml:space="preserve">TC-RID-006</t>
  </si>
  <si>
    <t xml:space="preserve">Age at the 18-year limit</t>
  </si>
  <si>
    <t xml:space="preserve">1. Fill in all other fields with valid data.
2. Enter each date of birth in the test data, one per attempt.
3. Click Save.</t>
  </si>
  <si>
    <t xml:space="preserve">The 17-year-old date is rejected with a message that the person must be at least 18. The other two dates are accepted.</t>
  </si>
  <si>
    <t xml:space="preserve">TC-RID-007</t>
  </si>
  <si>
    <t xml:space="preserve">Email in an invalid format</t>
  </si>
  <si>
    <t xml:space="preserve">1. Fill in all other fields with valid data.
2. Enter each email in the test data, one per attempt.
3. Click Save.</t>
  </si>
  <si>
    <t xml:space="preserve">pedrojose.garciaexample.com (no @)
pedrojose.garcia@ (no domain)
@example.com (no name)
pedrojose.garcia@example (no .com)
pedrojose garcia@example.com (space)</t>
  </si>
  <si>
    <t xml:space="preserve">Each value is rejected with a message asking for a valid email address. No rider is created.</t>
  </si>
  <si>
    <t xml:space="preserve">TC-RID-008</t>
  </si>
  <si>
    <t xml:space="preserve">Email already used by an account of another role</t>
  </si>
  <si>
    <t xml:space="preserve">The Approved logistics account operations@bilishatid.example.com is logged in and the Add Rider form is open. The buyer account juanmiguel.delacruz@example.com already exists.</t>
  </si>
  <si>
    <t xml:space="preserve">1. Fill in all other fields with valid data.
2. Enter the existing email.
3. Click Save.</t>
  </si>
  <si>
    <t xml:space="preserve">Email: juanmiguel.delacruz@example.com</t>
  </si>
  <si>
    <t xml:space="preserve">Saving is blocked. A message says the email is already in use. No rider is created.</t>
  </si>
  <si>
    <t xml:space="preserve">TC-RID-009</t>
  </si>
  <si>
    <t xml:space="preserve">Mobile number in an invalid format</t>
  </si>
  <si>
    <t xml:space="preserve">1. Fill in all other fields with valid data.
2. Enter each mobile number in the test data, one per attempt.
3. Click Save.</t>
  </si>
  <si>
    <t xml:space="preserve">0917ABC4567 (letters)
0917-123-456 (symbols, too short)
12345678901 (does not start with 09)
02-8123-4567 (landline)</t>
  </si>
  <si>
    <t xml:space="preserve">Each value is rejected with a message asking for a valid mobile number.</t>
  </si>
  <si>
    <t xml:space="preserve">TC-RID-010</t>
  </si>
  <si>
    <t xml:space="preserve">Mobile number length at the limits</t>
  </si>
  <si>
    <t xml:space="preserve">10 digits: 0917123456 (reject)
11 digits: 09170000001 (accept)
12 digits: 091712345678 (reject)</t>
  </si>
  <si>
    <t xml:space="preserve">10 and 12 digits are rejected with a length message. 11 digits is accepted.</t>
  </si>
  <si>
    <t xml:space="preserve">TC-RID-011</t>
  </si>
  <si>
    <t xml:space="preserve">Mobile number that is already registered</t>
  </si>
  <si>
    <t xml:space="preserve">The Approved logistics account operations@bilishatid.example.com is logged in and the Add Rider form is open. An account already exists with mobile number 09171234567.</t>
  </si>
  <si>
    <t xml:space="preserve">1. Fill in all other fields with valid data.
2. Enter the existing mobile number.
3. Click Save.</t>
  </si>
  <si>
    <t xml:space="preserve">Mobile: 09171234567</t>
  </si>
  <si>
    <t xml:space="preserve">Saving is blocked. A message says the mobile number is already in use.</t>
  </si>
  <si>
    <t xml:space="preserve">TC-RID-012</t>
  </si>
  <si>
    <t xml:space="preserve">License and Vehicle</t>
  </si>
  <si>
    <t xml:space="preserve">Driver's license number in an invalid format</t>
  </si>
  <si>
    <t xml:space="preserve">1. Fill in all other fields with valid data.
2. Enter each license number in the test data, one per attempt.
3. Click Save.</t>
  </si>
  <si>
    <t xml:space="preserve">N01-23-45678 (one digit short)
N01-23-4567890 (one digit extra)
101-23-456789 (no letter)
N0123456789X (letter at the end)</t>
  </si>
  <si>
    <t xml:space="preserve">Each value is rejected with a message showing the format A00-00-000000.</t>
  </si>
  <si>
    <t xml:space="preserve">TC-RID-013</t>
  </si>
  <si>
    <t xml:space="preserve">Driver's license number already registered</t>
  </si>
  <si>
    <t xml:space="preserve">The Approved logistics account operations@bilishatid.example.com is logged in and the Add Rider form is open. The rider pedrojose.garcia@example.com already exists.</t>
  </si>
  <si>
    <t xml:space="preserve">1. Fill in all other fields with valid data.
2. Enter the existing license number.
3. Click Save.</t>
  </si>
  <si>
    <t xml:space="preserve">Driver's License No.: N01-23-456789</t>
  </si>
  <si>
    <t xml:space="preserve">Saving is blocked. A message says the license number is already registered.</t>
  </si>
  <si>
    <t xml:space="preserve">TC-RID-014</t>
  </si>
  <si>
    <t xml:space="preserve">License expiry date at the limit</t>
  </si>
  <si>
    <t xml:space="preserve">1. Fill in all other fields with valid data.
2. Enter each expiry date in the test data, one per attempt.
3. Click Save.</t>
  </si>
  <si>
    <t xml:space="preserve">Yesterday's date is rejected with a message that the license is expired. Today's and tomorrow's dates are accepted.</t>
  </si>
  <si>
    <t xml:space="preserve">TC-RID-015</t>
  </si>
  <si>
    <t xml:space="preserve">Plate number already registered</t>
  </si>
  <si>
    <t xml:space="preserve">1. Fill in all other fields with valid data.
2. Enter the existing plate number.
3. Click Save.</t>
  </si>
  <si>
    <t xml:space="preserve">Plate Number: 123ABC</t>
  </si>
  <si>
    <t xml:space="preserve">Saving is blocked. A message says the plate number is already registered.</t>
  </si>
  <si>
    <t xml:space="preserve">TC-RID-016</t>
  </si>
  <si>
    <t xml:space="preserve">Document Upload</t>
  </si>
  <si>
    <t xml:space="preserve">Upload documents in each accepted file type</t>
  </si>
  <si>
    <t xml:space="preserve">1. Fill in all other fields with valid data.
2. Upload the files in the test data.
3. Click Save.</t>
  </si>
  <si>
    <t xml:space="preserve">Driver's License: drivers_license.jpg (1.5 MB), then drivers_license.png (2.0 MB), then drivers_license.pdf (700 KB)
Vehicle OR/CR: or_cr.pdf (900 KB)</t>
  </si>
  <si>
    <t xml:space="preserve">Each file is accepted and its name or preview is shown. The rider is saved.</t>
  </si>
  <si>
    <t xml:space="preserve">TC-RID-017</t>
  </si>
  <si>
    <t xml:space="preserve">Upload a file type that is not accepted</t>
  </si>
  <si>
    <t xml:space="preserve">1. Fill in all other fields with valid data.
2. Try to upload each file in the test data to Driver's License, one per attempt.
3. Click Save.</t>
  </si>
  <si>
    <t xml:space="preserve">price_list.docx (320 KB)
store_banner.gif (480 KB)
installer.exe (2.1 MB)</t>
  </si>
  <si>
    <t xml:space="preserve">Each file is rejected with a message listing the accepted types (JPG, PNG, PDF). No rider is created.</t>
  </si>
  <si>
    <t xml:space="preserve">TC-RID-018</t>
  </si>
  <si>
    <t xml:space="preserve">File size at the limit</t>
  </si>
  <si>
    <t xml:space="preserve">1. Fill in all other fields with valid data.
2. Upload each file in the test data to Driver's License, one per attempt.
3. Click Save.</t>
  </si>
  <si>
    <t xml:space="preserve">size_4.9MB.jpg (accept)
size_5.0MB.jpg, exactly 5,120 KB (accept)
size_5.1MB.jpg (reject)</t>
  </si>
  <si>
    <t xml:space="preserve">The 4.9 MB and 5.0 MB files are accepted. The 5.1 MB file is rejected with a maximum-size message.</t>
  </si>
  <si>
    <t xml:space="preserve">TC-RID-019</t>
  </si>
  <si>
    <t xml:space="preserve">Click Save several times quickly</t>
  </si>
  <si>
    <t xml:space="preserve">1. Fill in all fields with the Account 2 data from the Test Data sheet.
2. Click Save three times in quick succession.</t>
  </si>
  <si>
    <t xml:space="preserve">Account 2 data (Test Data sheet, column G)</t>
  </si>
  <si>
    <t xml:space="preserve">Only one rider is created and only one activation email is sent.</t>
  </si>
  <si>
    <t xml:space="preserve">TC-RID-020</t>
  </si>
  <si>
    <t xml:space="preserve">Account Activation</t>
  </si>
  <si>
    <t xml:space="preserve">Rider activates the account with a valid password</t>
  </si>
  <si>
    <t xml:space="preserve">The rider pedrojose.garcia@example.com has status Pending Activation and the activation email has been read from the mail catcher.</t>
  </si>
  <si>
    <t xml:space="preserve">1. Open the activation link from the email within 24 hours.
2. Enter and confirm the password.
3. Click Activate.</t>
  </si>
  <si>
    <t xml:space="preserve">Password: Rider@2026
Confirm Password: Rider@2026</t>
  </si>
  <si>
    <t xml:space="preserve">The password is saved. The rider's status changes from Pending Activation to Active, and the login page opens with a success message.</t>
  </si>
  <si>
    <t xml:space="preserve">A5, A13</t>
  </si>
  <si>
    <t xml:space="preserve">TC-RID-021</t>
  </si>
  <si>
    <t xml:space="preserve">Set a password that breaks the password rule</t>
  </si>
  <si>
    <t xml:space="preserve">1. Open the activation link.
2. Enter each password in both fields, one per attempt.
3. Click Activate.</t>
  </si>
  <si>
    <t xml:space="preserve">7 characters: Ride@26
No uppercase: rider@2026
No lowercase: RIDER@2026
No number: Rider@abcd
No special character: Rider2026</t>
  </si>
  <si>
    <t xml:space="preserve">Each password is rejected with a message stating the password rule. The rider stays Pending Activation.</t>
  </si>
  <si>
    <t xml:space="preserve">TC-RID-022</t>
  </si>
  <si>
    <t xml:space="preserve">Confirm Password does not match</t>
  </si>
  <si>
    <t xml:space="preserve">1. Open the activation link.
2. Enter the test data in Password and Confirm Password.
3. Click Activate.</t>
  </si>
  <si>
    <t xml:space="preserve">Password: Rider@2026
Confirm Password: Rider@2027</t>
  </si>
  <si>
    <t xml:space="preserve">Activation is blocked. A message says the passwords do not match.</t>
  </si>
  <si>
    <t xml:space="preserve">TC-RID-023</t>
  </si>
  <si>
    <t xml:space="preserve">Open an expired activation link</t>
  </si>
  <si>
    <t xml:space="preserve">1. Wait until more than 24 hours have passed since the email was sent (or set the link's expiry time back in the test database).
2. Open the activation link.</t>
  </si>
  <si>
    <t xml:space="preserve">Activation link sent 24 hours and 1 minute ago</t>
  </si>
  <si>
    <t xml:space="preserve">A message says the link has expired. No password can be set and the rider stays Pending Activation.</t>
  </si>
  <si>
    <t xml:space="preserve">TC-RID-024</t>
  </si>
  <si>
    <t xml:space="preserve">Logistics resends the activation email</t>
  </si>
  <si>
    <t xml:space="preserve">The rider pedrojose.garcia@example.com has status Pending Activation. The logistics account operations@bilishatid.example.com is logged in.</t>
  </si>
  <si>
    <t xml:space="preserve">1. Open the rider list.
2. Click Resend Activation for Pedro Jose Garcia.
3. Open the first link.
4. Open the second link.</t>
  </si>
  <si>
    <t xml:space="preserve">First activation link, then the link from the second email</t>
  </si>
  <si>
    <t xml:space="preserve">A new activation email is sent. The first link no longer works. The second link opens the set-password page.</t>
  </si>
  <si>
    <t xml:space="preserve">TC-RID-025</t>
  </si>
  <si>
    <t xml:space="preserve">Reuse the activation link after activating</t>
  </si>
  <si>
    <t xml:space="preserve">The rider pedrojose.garcia@example.com is already Active.</t>
  </si>
  <si>
    <t xml:space="preserve">1. Open the activation link that was already used.</t>
  </si>
  <si>
    <t xml:space="preserve">Activation link from the email that was used to activate</t>
  </si>
  <si>
    <t xml:space="preserve">A message says the link is invalid or already used. The password cannot be changed through this link.</t>
  </si>
  <si>
    <t xml:space="preserve">TC-RID-026</t>
  </si>
  <si>
    <t xml:space="preserve">Rider logs in before activating</t>
  </si>
  <si>
    <t xml:space="preserve">The rider pedrojose.garcia@example.com has status Pending Activation.</t>
  </si>
  <si>
    <t xml:space="preserve">1. Open the login page.
2. Enter the email and password.
3. Click Log In.</t>
  </si>
  <si>
    <t xml:space="preserve">Email: pedrojose.garcia@example.com
Password: Rider@2026</t>
  </si>
  <si>
    <t xml:space="preserve">Login is denied. The rider is not given access to any page.</t>
  </si>
  <si>
    <t xml:space="preserve">TC-RID-027</t>
  </si>
  <si>
    <t xml:space="preserve">Access Control</t>
  </si>
  <si>
    <t xml:space="preserve">Rider logs in after activating</t>
  </si>
  <si>
    <t xml:space="preserve">The rider pedrojose.garcia@example.com is Active.</t>
  </si>
  <si>
    <t xml:space="preserve">Login succeeds. The rider dashboard opens and shows Pedro Jose Garcia and Bilis Hatid Express Inc.</t>
  </si>
  <si>
    <t xml:space="preserve">TC-RID-028</t>
  </si>
  <si>
    <t xml:space="preserve">Rider is visible only to the company that created it</t>
  </si>
  <si>
    <t xml:space="preserve">Bilis Hatid Express Inc. created the rider Pedro Jose Garcia. Agila Cargo Movers Corp. is also an Approved logistics account.</t>
  </si>
  <si>
    <t xml:space="preserve">1. Log in as the first company and open the rider list.
2. Log out.
3. Log in as the second company and open the rider list.</t>
  </si>
  <si>
    <t xml:space="preserve">First: operations@bilishatid.example.com / Hatid@2026
Second: admin@agilacargo.example.com / Agila#Cargo26</t>
  </si>
  <si>
    <t xml:space="preserve">Pedro Jose Garcia appears in the rider list of Bilis Hatid Express Inc. and does not appear in the rider list of Agila Cargo Movers Corp.</t>
  </si>
  <si>
    <t xml:space="preserve">TC-RID-029</t>
  </si>
  <si>
    <t xml:space="preserve">No public rider registration</t>
  </si>
  <si>
    <t xml:space="preserve">No user is logged in.</t>
  </si>
  <si>
    <t xml:space="preserve">1. Open the public registration page and check the role choices.
2. Paste the address of the Add Rider form into the browser.</t>
  </si>
  <si>
    <t xml:space="preserve">Add Rider form address (copy it while logged in as logistics)</t>
  </si>
  <si>
    <t xml:space="preserve">Rider is not offered as a self-registration role. The Add Rider address redirects to the login page.</t>
  </si>
  <si>
    <t xml:space="preserve">TC-RID-030</t>
  </si>
  <si>
    <t xml:space="preserve">Buyer or seller opens the Add Rider form</t>
  </si>
  <si>
    <t xml:space="preserve">The buyer account juanmiguel.delacruz@example.com is logged in.</t>
  </si>
  <si>
    <t xml:space="preserve">1. Paste the address of the Add Rider form into the browser.
2. Repeat while logged in as the seller mariaclara.santos@example.com.</t>
  </si>
  <si>
    <t xml:space="preserve">Add Rider form address</t>
  </si>
  <si>
    <t xml:space="preserve">Access is denied each time (error 403 or redirect). No rider can be created.</t>
  </si>
  <si>
    <t xml:space="preserve">TC-RID-031</t>
  </si>
  <si>
    <t xml:space="preserve">Pending logistics account tries to add a rider</t>
  </si>
  <si>
    <t xml:space="preserve">A logistics account with status Pending Approval is logged in (register admin@agilacargo.example.com and verify it, but do not approve it yet).</t>
  </si>
  <si>
    <t xml:space="preserve">1. Look for the Add Rider option.
2. Paste the address of the Add Rider form into the browser.</t>
  </si>
  <si>
    <t xml:space="preserve">The Add Rider option is not available. The address is denied or shows the under-review notice. No rider can be created.</t>
  </si>
  <si>
    <t xml:space="preserve">A12, A13</t>
  </si>
  <si>
    <t xml:space="preserve">TC-RID-032</t>
  </si>
  <si>
    <t xml:space="preserve">Open another role's pages</t>
  </si>
  <si>
    <t xml:space="preserve">The Active rider account pedrojose.garcia@example.com is logged in.</t>
  </si>
  <si>
    <t xml:space="preserve">1. Paste the address of each dashboard in the test data into the browser, one at a time.</t>
  </si>
  <si>
    <t xml:space="preserve">Logistics dashboard
Seller dashboard
Admin dashboard</t>
  </si>
  <si>
    <t xml:space="preserve">Access is denied each time (error 403 or redirect). No data from the other role is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</si>
</sst>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4B00"/>
        <sz val="1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5" t="s">
        <v>4</v>
      </c>
      <c r="B6" s="6"/>
    </row>
    <row r="7" customFormat="false" ht="23.85" hidden="false" customHeight="false" outlineLevel="0" collapsed="false">
      <c r="A7" s="5" t="s">
        <v>5</v>
      </c>
      <c r="B7" s="6"/>
    </row>
    <row r="8" customFormat="false" ht="15" hidden="false" customHeight="false" outlineLevel="0" collapsed="false">
      <c r="A8" s="5" t="s">
        <v>6</v>
      </c>
      <c r="B8" s="6"/>
    </row>
    <row r="9" customFormat="false" ht="15" hidden="false" customHeight="false" outlineLevel="0" collapsed="false">
      <c r="A9" s="5" t="s">
        <v>7</v>
      </c>
      <c r="B9" s="6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</row>
    <row r="13" customFormat="false" ht="15" hidden="false" customHeight="false" outlineLevel="0" collapsed="false">
      <c r="A13" s="8" t="s">
        <v>16</v>
      </c>
      <c r="B13" s="9" t="e">
        <f aca="false">COUNTA(#REF!)</f>
        <v>#REF!</v>
      </c>
      <c r="C13" s="9" t="e">
        <f aca="false">COUNTIF(#REF!,"Pass")</f>
        <v>#REF!</v>
      </c>
      <c r="D13" s="9" t="e">
        <f aca="false">COUNTIF(#REF!,"Fail")</f>
        <v>#REF!</v>
      </c>
      <c r="E13" s="9" t="e">
        <f aca="false">COUNTIF(#REF!,"Blocked")</f>
        <v>#REF!</v>
      </c>
      <c r="F13" s="9" t="e">
        <f aca="false">COUNTIF(#REF!,"Not Run")</f>
        <v>#REF!</v>
      </c>
      <c r="G13" s="10" t="e">
        <f aca="false">IF(B13=0,0,C13/B13)</f>
        <v>#REF!</v>
      </c>
    </row>
    <row r="14" customFormat="false" ht="15" hidden="false" customHeight="false" outlineLevel="0" collapsed="false">
      <c r="A14" s="8" t="s">
        <v>17</v>
      </c>
      <c r="B14" s="9" t="e">
        <f aca="false">COUNTA(#REF!)</f>
        <v>#REF!</v>
      </c>
      <c r="C14" s="9" t="e">
        <f aca="false">COUNTIF(#REF!,"Pass")</f>
        <v>#REF!</v>
      </c>
      <c r="D14" s="9" t="e">
        <f aca="false">COUNTIF(#REF!,"Fail")</f>
        <v>#REF!</v>
      </c>
      <c r="E14" s="9" t="e">
        <f aca="false">COUNTIF(#REF!,"Blocked")</f>
        <v>#REF!</v>
      </c>
      <c r="F14" s="9" t="e">
        <f aca="false">COUNTIF(#REF!,"Not Run")</f>
        <v>#REF!</v>
      </c>
      <c r="G14" s="10" t="e">
        <f aca="false">IF(B14=0,0,C14/B14)</f>
        <v>#REF!</v>
      </c>
    </row>
    <row r="15" customFormat="false" ht="15" hidden="false" customHeight="false" outlineLevel="0" collapsed="false">
      <c r="A15" s="8" t="s">
        <v>18</v>
      </c>
      <c r="B15" s="9" t="e">
        <f aca="false">COUNTA(#REF!)</f>
        <v>#REF!</v>
      </c>
      <c r="C15" s="9" t="e">
        <f aca="false">COUNTIF(#REF!,"Pass")</f>
        <v>#REF!</v>
      </c>
      <c r="D15" s="9" t="e">
        <f aca="false">COUNTIF(#REF!,"Fail")</f>
        <v>#REF!</v>
      </c>
      <c r="E15" s="9" t="e">
        <f aca="false">COUNTIF(#REF!,"Blocked")</f>
        <v>#REF!</v>
      </c>
      <c r="F15" s="9" t="e">
        <f aca="false">COUNTIF(#REF!,"Not Run")</f>
        <v>#REF!</v>
      </c>
      <c r="G15" s="10" t="e">
        <f aca="false">IF(B15=0,0,C15/B15)</f>
        <v>#REF!</v>
      </c>
    </row>
    <row r="16" customFormat="false" ht="15" hidden="false" customHeight="false" outlineLevel="0" collapsed="false">
      <c r="A16" s="8" t="s">
        <v>19</v>
      </c>
      <c r="B16" s="9" t="n">
        <f aca="false">COUNTA(Rider!$A$2:$A$200)</f>
        <v>32</v>
      </c>
      <c r="C16" s="9" t="n">
        <f aca="false">COUNTIF(Rider!$L$2:$L$200,"Pass")</f>
        <v>0</v>
      </c>
      <c r="D16" s="9" t="n">
        <f aca="false">COUNTIF(Rider!$L$2:$L$200,"Fail")</f>
        <v>0</v>
      </c>
      <c r="E16" s="9" t="n">
        <f aca="false">COUNTIF(Rider!$L$2:$L$200,"Blocked")</f>
        <v>0</v>
      </c>
      <c r="F16" s="9" t="n">
        <f aca="false">COUNTIF(Rider!$L$2:$L$200,"Not Run")</f>
        <v>32</v>
      </c>
      <c r="G16" s="10" t="n">
        <f aca="false">IF(B16=0,0,C16/B16)</f>
        <v>0</v>
      </c>
    </row>
    <row r="17" customFormat="false" ht="15" hidden="false" customHeight="false" outlineLevel="0" collapsed="false">
      <c r="A17" s="11" t="s">
        <v>20</v>
      </c>
      <c r="B17" s="12" t="e">
        <f aca="false">SUM(B13:B16)</f>
        <v>#REF!</v>
      </c>
      <c r="C17" s="12" t="e">
        <f aca="false">SUM(C13:C16)</f>
        <v>#REF!</v>
      </c>
      <c r="D17" s="12" t="e">
        <f aca="false">SUM(D13:D16)</f>
        <v>#REF!</v>
      </c>
      <c r="E17" s="12" t="e">
        <f aca="false">SUM(E13:E16)</f>
        <v>#REF!</v>
      </c>
      <c r="F17" s="12" t="e">
        <f aca="false">SUM(F13:F16)</f>
        <v>#REF!</v>
      </c>
      <c r="G17" s="13" t="e">
        <f aca="false">IF(B17=0,0,C17/B17)</f>
        <v>#REF!</v>
      </c>
    </row>
    <row r="19" customFormat="false" ht="15" hidden="false" customHeight="false" outlineLevel="0" collapsed="false">
      <c r="A19" s="4" t="s">
        <v>21</v>
      </c>
    </row>
    <row r="20" customFormat="false" ht="15.75" hidden="false" customHeight="true" outlineLevel="0" collapsed="false">
      <c r="A20" s="14" t="s">
        <v>22</v>
      </c>
      <c r="B20" s="14"/>
      <c r="C20" s="14"/>
      <c r="D20" s="14"/>
      <c r="E20" s="14"/>
      <c r="F20" s="14"/>
      <c r="G20" s="14"/>
    </row>
    <row r="21" customFormat="false" ht="30" hidden="false" customHeight="true" outlineLevel="0" collapsed="false">
      <c r="A21" s="14" t="s">
        <v>23</v>
      </c>
      <c r="B21" s="14"/>
      <c r="C21" s="14"/>
      <c r="D21" s="14"/>
      <c r="E21" s="14"/>
      <c r="F21" s="14"/>
      <c r="G21" s="14"/>
    </row>
    <row r="22" customFormat="false" ht="30" hidden="false" customHeight="true" outlineLevel="0" collapsed="false">
      <c r="A22" s="14" t="s">
        <v>24</v>
      </c>
      <c r="B22" s="14"/>
      <c r="C22" s="14"/>
      <c r="D22" s="14"/>
      <c r="E22" s="14"/>
      <c r="F22" s="14"/>
      <c r="G22" s="14"/>
    </row>
    <row r="23" customFormat="false" ht="30" hidden="false" customHeight="true" outlineLevel="0" collapsed="false">
      <c r="A23" s="14" t="s">
        <v>25</v>
      </c>
      <c r="B23" s="14"/>
      <c r="C23" s="14"/>
      <c r="D23" s="14"/>
      <c r="E23" s="14"/>
      <c r="F23" s="14"/>
      <c r="G23" s="14"/>
    </row>
    <row r="24" customFormat="false" ht="15.75" hidden="false" customHeight="true" outlineLevel="0" collapsed="false">
      <c r="A24" s="14" t="s">
        <v>26</v>
      </c>
      <c r="B24" s="14"/>
      <c r="C24" s="14"/>
      <c r="D24" s="14"/>
      <c r="E24" s="14"/>
      <c r="F24" s="14"/>
      <c r="G24" s="14"/>
    </row>
    <row r="25" customFormat="false" ht="15.75" hidden="false" customHeight="true" outlineLevel="0" collapsed="false">
      <c r="A25" s="14" t="s">
        <v>27</v>
      </c>
      <c r="B25" s="14"/>
      <c r="C25" s="14"/>
      <c r="D25" s="14"/>
      <c r="E25" s="14"/>
      <c r="F25" s="14"/>
      <c r="G25" s="14"/>
    </row>
    <row r="26" customFormat="false" ht="30" hidden="false" customHeight="true" outlineLevel="0" collapsed="false">
      <c r="A26" s="14" t="s">
        <v>28</v>
      </c>
      <c r="B26" s="14"/>
      <c r="C26" s="14"/>
      <c r="D26" s="14"/>
      <c r="E26" s="14"/>
      <c r="F26" s="14"/>
      <c r="G26" s="14"/>
    </row>
    <row r="27" customFormat="false" ht="15.75" hidden="false" customHeight="true" outlineLevel="0" collapsed="false">
      <c r="A27" s="14" t="s">
        <v>29</v>
      </c>
      <c r="B27" s="14"/>
      <c r="C27" s="14"/>
      <c r="D27" s="14"/>
      <c r="E27" s="14"/>
      <c r="F27" s="14"/>
      <c r="G27" s="14"/>
    </row>
    <row r="29" customFormat="false" ht="15" hidden="false" customHeight="false" outlineLevel="0" collapsed="false">
      <c r="A29" s="4" t="s">
        <v>30</v>
      </c>
    </row>
    <row r="30" customFormat="false" ht="15" hidden="false" customHeight="false" outlineLevel="0" collapsed="false">
      <c r="A30" s="7" t="s">
        <v>31</v>
      </c>
      <c r="B30" s="7" t="s">
        <v>32</v>
      </c>
      <c r="C30" s="7" t="s">
        <v>33</v>
      </c>
      <c r="D30" s="7" t="s">
        <v>34</v>
      </c>
      <c r="E30" s="7" t="s">
        <v>35</v>
      </c>
      <c r="F30" s="7" t="s">
        <v>36</v>
      </c>
    </row>
    <row r="31" customFormat="false" ht="54" hidden="false" customHeight="true" outlineLevel="0" collapsed="false">
      <c r="A31" s="15" t="s">
        <v>37</v>
      </c>
      <c r="B31" s="15" t="s">
        <v>38</v>
      </c>
      <c r="C31" s="15" t="s">
        <v>39</v>
      </c>
      <c r="D31" s="16" t="s">
        <v>40</v>
      </c>
      <c r="E31" s="16" t="s">
        <v>12</v>
      </c>
      <c r="F31" s="16" t="s">
        <v>41</v>
      </c>
    </row>
    <row r="34" customFormat="false" ht="15" hidden="false" customHeight="false" outlineLevel="0" collapsed="false">
      <c r="A34" s="4" t="s">
        <v>42</v>
      </c>
    </row>
    <row r="35" customFormat="false" ht="15" hidden="false" customHeight="true" outlineLevel="0" collapsed="false">
      <c r="A35" s="5" t="s">
        <v>43</v>
      </c>
      <c r="B35" s="17" t="s">
        <v>44</v>
      </c>
      <c r="C35" s="17"/>
      <c r="D35" s="17"/>
      <c r="E35" s="17"/>
      <c r="F35" s="17"/>
      <c r="G35" s="17"/>
    </row>
    <row r="36" customFormat="false" ht="15" hidden="false" customHeight="true" outlineLevel="0" collapsed="false">
      <c r="A36" s="5" t="s">
        <v>45</v>
      </c>
      <c r="B36" s="17" t="s">
        <v>46</v>
      </c>
      <c r="C36" s="17"/>
      <c r="D36" s="17"/>
      <c r="E36" s="17"/>
      <c r="F36" s="17"/>
      <c r="G36" s="17"/>
    </row>
    <row r="37" customFormat="false" ht="15" hidden="false" customHeight="true" outlineLevel="0" collapsed="false">
      <c r="A37" s="5" t="s">
        <v>47</v>
      </c>
      <c r="B37" s="17" t="s">
        <v>48</v>
      </c>
      <c r="C37" s="17"/>
      <c r="D37" s="17"/>
      <c r="E37" s="17"/>
      <c r="F37" s="17"/>
      <c r="G37" s="17"/>
    </row>
    <row r="38" customFormat="false" ht="15" hidden="false" customHeight="true" outlineLevel="0" collapsed="false">
      <c r="A38" s="5" t="s">
        <v>49</v>
      </c>
      <c r="B38" s="17" t="s">
        <v>50</v>
      </c>
      <c r="C38" s="17"/>
      <c r="D38" s="17"/>
      <c r="E38" s="17"/>
      <c r="F38" s="17"/>
      <c r="G38" s="17"/>
    </row>
    <row r="39" customFormat="false" ht="15" hidden="false" customHeight="true" outlineLevel="0" collapsed="false">
      <c r="A39" s="5" t="s">
        <v>51</v>
      </c>
      <c r="B39" s="17" t="s">
        <v>52</v>
      </c>
      <c r="C39" s="17"/>
      <c r="D39" s="17"/>
      <c r="E39" s="17"/>
      <c r="F39" s="17"/>
      <c r="G39" s="17"/>
    </row>
    <row r="40" customFormat="false" ht="15" hidden="false" customHeight="true" outlineLevel="0" collapsed="false">
      <c r="A40" s="5" t="s">
        <v>53</v>
      </c>
      <c r="B40" s="17" t="s">
        <v>54</v>
      </c>
      <c r="C40" s="17"/>
      <c r="D40" s="17"/>
      <c r="E40" s="17"/>
      <c r="F40" s="17"/>
      <c r="G40" s="17"/>
    </row>
  </sheetData>
  <mergeCells count="14">
    <mergeCell ref="A20:G20"/>
    <mergeCell ref="A21:G21"/>
    <mergeCell ref="A22:G22"/>
    <mergeCell ref="A23:G23"/>
    <mergeCell ref="A24:G24"/>
    <mergeCell ref="A25:G25"/>
    <mergeCell ref="A26:G26"/>
    <mergeCell ref="A27:G27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7" min="6" style="1" width="38"/>
  </cols>
  <sheetData>
    <row r="1" customFormat="false" ht="17.35" hidden="false" customHeight="false" outlineLevel="0" collapsed="false">
      <c r="A1" s="2" t="s">
        <v>55</v>
      </c>
    </row>
    <row r="2" customFormat="false" ht="30" hidden="false" customHeight="true" outlineLevel="0" collapsed="false">
      <c r="A2" s="14" t="s">
        <v>56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4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</row>
    <row r="6" customFormat="false" ht="23.85" hidden="false" customHeight="false" outlineLevel="0" collapsed="false">
      <c r="A6" s="18" t="s">
        <v>16</v>
      </c>
      <c r="B6" s="5" t="s">
        <v>65</v>
      </c>
      <c r="C6" s="17" t="s">
        <v>66</v>
      </c>
      <c r="D6" s="17" t="s">
        <v>67</v>
      </c>
      <c r="E6" s="17" t="s">
        <v>68</v>
      </c>
      <c r="F6" s="17" t="s">
        <v>69</v>
      </c>
      <c r="G6" s="17" t="s">
        <v>70</v>
      </c>
    </row>
    <row r="7" customFormat="false" ht="23.85" hidden="false" customHeight="false" outlineLevel="0" collapsed="false">
      <c r="A7" s="18" t="s">
        <v>16</v>
      </c>
      <c r="B7" s="5" t="s">
        <v>71</v>
      </c>
      <c r="C7" s="17" t="s">
        <v>66</v>
      </c>
      <c r="D7" s="17" t="s">
        <v>67</v>
      </c>
      <c r="E7" s="17" t="s">
        <v>68</v>
      </c>
      <c r="F7" s="17" t="s">
        <v>72</v>
      </c>
      <c r="G7" s="17" t="s">
        <v>73</v>
      </c>
    </row>
    <row r="8" customFormat="false" ht="15" hidden="false" customHeight="false" outlineLevel="0" collapsed="false">
      <c r="A8" s="18" t="s">
        <v>16</v>
      </c>
      <c r="B8" s="5" t="s">
        <v>74</v>
      </c>
      <c r="C8" s="17" t="s">
        <v>66</v>
      </c>
      <c r="D8" s="17" t="s">
        <v>74</v>
      </c>
      <c r="E8" s="17" t="s">
        <v>75</v>
      </c>
      <c r="F8" s="17" t="s">
        <v>76</v>
      </c>
      <c r="G8" s="17" t="s">
        <v>77</v>
      </c>
    </row>
    <row r="9" customFormat="false" ht="15" hidden="false" customHeight="false" outlineLevel="0" collapsed="false">
      <c r="A9" s="18" t="s">
        <v>16</v>
      </c>
      <c r="B9" s="5" t="s">
        <v>78</v>
      </c>
      <c r="C9" s="17" t="s">
        <v>66</v>
      </c>
      <c r="D9" s="17" t="s">
        <v>67</v>
      </c>
      <c r="E9" s="17" t="s">
        <v>79</v>
      </c>
      <c r="F9" s="17" t="s">
        <v>80</v>
      </c>
      <c r="G9" s="17" t="s">
        <v>81</v>
      </c>
    </row>
    <row r="10" customFormat="false" ht="15" hidden="false" customHeight="false" outlineLevel="0" collapsed="false">
      <c r="A10" s="18" t="s">
        <v>16</v>
      </c>
      <c r="B10" s="5" t="s">
        <v>82</v>
      </c>
      <c r="C10" s="17" t="s">
        <v>66</v>
      </c>
      <c r="D10" s="17" t="s">
        <v>83</v>
      </c>
      <c r="E10" s="17" t="s">
        <v>84</v>
      </c>
      <c r="F10" s="17" t="s">
        <v>85</v>
      </c>
      <c r="G10" s="17" t="s">
        <v>86</v>
      </c>
    </row>
    <row r="11" customFormat="false" ht="23.85" hidden="false" customHeight="false" outlineLevel="0" collapsed="false">
      <c r="A11" s="18" t="s">
        <v>16</v>
      </c>
      <c r="B11" s="5" t="s">
        <v>87</v>
      </c>
      <c r="C11" s="17" t="s">
        <v>66</v>
      </c>
      <c r="D11" s="17" t="s">
        <v>87</v>
      </c>
      <c r="E11" s="17" t="s">
        <v>88</v>
      </c>
      <c r="F11" s="17" t="s">
        <v>89</v>
      </c>
      <c r="G11" s="17" t="s">
        <v>90</v>
      </c>
    </row>
    <row r="12" customFormat="false" ht="15" hidden="false" customHeight="false" outlineLevel="0" collapsed="false">
      <c r="A12" s="18" t="s">
        <v>16</v>
      </c>
      <c r="B12" s="5" t="s">
        <v>91</v>
      </c>
      <c r="C12" s="17" t="s">
        <v>66</v>
      </c>
      <c r="D12" s="17" t="s">
        <v>87</v>
      </c>
      <c r="E12" s="17" t="s">
        <v>92</v>
      </c>
      <c r="F12" s="17" t="s">
        <v>89</v>
      </c>
      <c r="G12" s="17" t="s">
        <v>90</v>
      </c>
    </row>
    <row r="13" customFormat="false" ht="15" hidden="false" customHeight="false" outlineLevel="0" collapsed="false">
      <c r="A13" s="18" t="s">
        <v>16</v>
      </c>
      <c r="B13" s="5" t="s">
        <v>93</v>
      </c>
      <c r="C13" s="17" t="s">
        <v>66</v>
      </c>
      <c r="D13" s="17" t="s">
        <v>94</v>
      </c>
      <c r="E13" s="17" t="s">
        <v>95</v>
      </c>
      <c r="F13" s="17" t="s">
        <v>96</v>
      </c>
      <c r="G13" s="17" t="s">
        <v>96</v>
      </c>
    </row>
    <row r="15" customFormat="false" ht="15" hidden="false" customHeight="false" outlineLevel="0" collapsed="false">
      <c r="A15" s="4" t="s">
        <v>97</v>
      </c>
    </row>
    <row r="16" customFormat="false" ht="15" hidden="false" customHeight="false" outlineLevel="0" collapsed="false">
      <c r="A16" s="7" t="s">
        <v>58</v>
      </c>
      <c r="B16" s="7" t="s">
        <v>59</v>
      </c>
      <c r="C16" s="7" t="s">
        <v>60</v>
      </c>
      <c r="D16" s="7" t="s">
        <v>61</v>
      </c>
      <c r="E16" s="7" t="s">
        <v>62</v>
      </c>
      <c r="F16" s="7" t="s">
        <v>63</v>
      </c>
      <c r="G16" s="7" t="s">
        <v>64</v>
      </c>
    </row>
    <row r="17" customFormat="false" ht="23.85" hidden="false" customHeight="false" outlineLevel="0" collapsed="false">
      <c r="A17" s="18" t="s">
        <v>17</v>
      </c>
      <c r="B17" s="5" t="s">
        <v>65</v>
      </c>
      <c r="C17" s="17" t="s">
        <v>66</v>
      </c>
      <c r="D17" s="17" t="s">
        <v>67</v>
      </c>
      <c r="E17" s="17" t="s">
        <v>68</v>
      </c>
      <c r="F17" s="17" t="s">
        <v>98</v>
      </c>
      <c r="G17" s="17" t="s">
        <v>99</v>
      </c>
    </row>
    <row r="18" customFormat="false" ht="23.85" hidden="false" customHeight="false" outlineLevel="0" collapsed="false">
      <c r="A18" s="18" t="s">
        <v>17</v>
      </c>
      <c r="B18" s="5" t="s">
        <v>71</v>
      </c>
      <c r="C18" s="17" t="s">
        <v>66</v>
      </c>
      <c r="D18" s="17" t="s">
        <v>67</v>
      </c>
      <c r="E18" s="17" t="s">
        <v>68</v>
      </c>
      <c r="F18" s="17" t="s">
        <v>100</v>
      </c>
      <c r="G18" s="17" t="s">
        <v>101</v>
      </c>
    </row>
    <row r="19" customFormat="false" ht="15" hidden="false" customHeight="false" outlineLevel="0" collapsed="false">
      <c r="A19" s="18" t="s">
        <v>17</v>
      </c>
      <c r="B19" s="5" t="s">
        <v>74</v>
      </c>
      <c r="C19" s="17" t="s">
        <v>66</v>
      </c>
      <c r="D19" s="17" t="s">
        <v>74</v>
      </c>
      <c r="E19" s="17" t="s">
        <v>75</v>
      </c>
      <c r="F19" s="17" t="s">
        <v>102</v>
      </c>
      <c r="G19" s="17" t="s">
        <v>103</v>
      </c>
    </row>
    <row r="20" customFormat="false" ht="15" hidden="false" customHeight="false" outlineLevel="0" collapsed="false">
      <c r="A20" s="18" t="s">
        <v>17</v>
      </c>
      <c r="B20" s="5" t="s">
        <v>78</v>
      </c>
      <c r="C20" s="17" t="s">
        <v>66</v>
      </c>
      <c r="D20" s="17" t="s">
        <v>67</v>
      </c>
      <c r="E20" s="17" t="s">
        <v>79</v>
      </c>
      <c r="F20" s="17" t="s">
        <v>104</v>
      </c>
      <c r="G20" s="17" t="s">
        <v>105</v>
      </c>
    </row>
    <row r="21" customFormat="false" ht="15" hidden="false" customHeight="false" outlineLevel="0" collapsed="false">
      <c r="A21" s="18" t="s">
        <v>17</v>
      </c>
      <c r="B21" s="5" t="s">
        <v>106</v>
      </c>
      <c r="C21" s="17" t="s">
        <v>66</v>
      </c>
      <c r="D21" s="17" t="s">
        <v>67</v>
      </c>
      <c r="E21" s="17" t="s">
        <v>107</v>
      </c>
      <c r="F21" s="17" t="s">
        <v>108</v>
      </c>
      <c r="G21" s="17" t="s">
        <v>109</v>
      </c>
    </row>
    <row r="22" customFormat="false" ht="15" hidden="false" customHeight="false" outlineLevel="0" collapsed="false">
      <c r="A22" s="18" t="s">
        <v>17</v>
      </c>
      <c r="B22" s="5" t="s">
        <v>110</v>
      </c>
      <c r="C22" s="17" t="s">
        <v>66</v>
      </c>
      <c r="D22" s="17" t="s">
        <v>111</v>
      </c>
      <c r="E22" s="17" t="s">
        <v>112</v>
      </c>
      <c r="F22" s="17" t="s">
        <v>113</v>
      </c>
      <c r="G22" s="17" t="s">
        <v>114</v>
      </c>
    </row>
    <row r="23" customFormat="false" ht="15" hidden="false" customHeight="false" outlineLevel="0" collapsed="false">
      <c r="A23" s="18" t="s">
        <v>17</v>
      </c>
      <c r="B23" s="5" t="s">
        <v>115</v>
      </c>
      <c r="C23" s="17" t="s">
        <v>66</v>
      </c>
      <c r="D23" s="17" t="s">
        <v>111</v>
      </c>
      <c r="E23" s="17" t="s">
        <v>116</v>
      </c>
      <c r="F23" s="17" t="s">
        <v>117</v>
      </c>
      <c r="G23" s="17" t="s">
        <v>118</v>
      </c>
    </row>
    <row r="24" customFormat="false" ht="15" hidden="false" customHeight="false" outlineLevel="0" collapsed="false">
      <c r="A24" s="18" t="s">
        <v>17</v>
      </c>
      <c r="B24" s="5" t="s">
        <v>119</v>
      </c>
      <c r="C24" s="17" t="s">
        <v>66</v>
      </c>
      <c r="D24" s="17" t="s">
        <v>67</v>
      </c>
      <c r="E24" s="17" t="s">
        <v>120</v>
      </c>
      <c r="F24" s="17" t="s">
        <v>121</v>
      </c>
      <c r="G24" s="17" t="s">
        <v>122</v>
      </c>
    </row>
    <row r="25" customFormat="false" ht="15" hidden="false" customHeight="false" outlineLevel="0" collapsed="false">
      <c r="A25" s="18" t="s">
        <v>17</v>
      </c>
      <c r="B25" s="5" t="s">
        <v>123</v>
      </c>
      <c r="C25" s="17" t="s">
        <v>66</v>
      </c>
      <c r="D25" s="17" t="s">
        <v>111</v>
      </c>
      <c r="E25" s="17" t="s">
        <v>124</v>
      </c>
      <c r="F25" s="17" t="s">
        <v>125</v>
      </c>
      <c r="G25" s="17" t="s">
        <v>126</v>
      </c>
    </row>
    <row r="26" customFormat="false" ht="15" hidden="false" customHeight="false" outlineLevel="0" collapsed="false">
      <c r="A26" s="18" t="s">
        <v>17</v>
      </c>
      <c r="B26" s="5" t="s">
        <v>127</v>
      </c>
      <c r="C26" s="17" t="s">
        <v>66</v>
      </c>
      <c r="D26" s="17" t="s">
        <v>111</v>
      </c>
      <c r="E26" s="17" t="s">
        <v>128</v>
      </c>
      <c r="F26" s="17" t="s">
        <v>129</v>
      </c>
      <c r="G26" s="17" t="s">
        <v>130</v>
      </c>
    </row>
    <row r="27" customFormat="false" ht="15" hidden="false" customHeight="false" outlineLevel="0" collapsed="false">
      <c r="A27" s="18" t="s">
        <v>17</v>
      </c>
      <c r="B27" s="5" t="s">
        <v>131</v>
      </c>
      <c r="C27" s="17" t="s">
        <v>66</v>
      </c>
      <c r="D27" s="17" t="s">
        <v>111</v>
      </c>
      <c r="E27" s="17" t="s">
        <v>132</v>
      </c>
      <c r="F27" s="17" t="s">
        <v>133</v>
      </c>
      <c r="G27" s="17" t="s">
        <v>134</v>
      </c>
    </row>
    <row r="28" customFormat="false" ht="15" hidden="false" customHeight="false" outlineLevel="0" collapsed="false">
      <c r="A28" s="18" t="s">
        <v>17</v>
      </c>
      <c r="B28" s="5" t="s">
        <v>135</v>
      </c>
      <c r="C28" s="17" t="s">
        <v>66</v>
      </c>
      <c r="D28" s="17" t="s">
        <v>111</v>
      </c>
      <c r="E28" s="17" t="s">
        <v>136</v>
      </c>
      <c r="F28" s="17" t="s">
        <v>137</v>
      </c>
      <c r="G28" s="17" t="s">
        <v>138</v>
      </c>
    </row>
    <row r="29" customFormat="false" ht="15" hidden="false" customHeight="false" outlineLevel="0" collapsed="false">
      <c r="A29" s="18" t="s">
        <v>17</v>
      </c>
      <c r="B29" s="5" t="s">
        <v>139</v>
      </c>
      <c r="C29" s="17" t="s">
        <v>66</v>
      </c>
      <c r="D29" s="17" t="s">
        <v>67</v>
      </c>
      <c r="E29" s="17" t="s">
        <v>140</v>
      </c>
      <c r="F29" s="17" t="s">
        <v>141</v>
      </c>
      <c r="G29" s="17" t="s">
        <v>142</v>
      </c>
    </row>
    <row r="30" customFormat="false" ht="15" hidden="false" customHeight="false" outlineLevel="0" collapsed="false">
      <c r="A30" s="18" t="s">
        <v>17</v>
      </c>
      <c r="B30" s="5" t="s">
        <v>143</v>
      </c>
      <c r="C30" s="17" t="s">
        <v>66</v>
      </c>
      <c r="D30" s="17" t="s">
        <v>67</v>
      </c>
      <c r="E30" s="17" t="s">
        <v>144</v>
      </c>
      <c r="F30" s="17" t="s">
        <v>145</v>
      </c>
      <c r="G30" s="17" t="s">
        <v>146</v>
      </c>
    </row>
    <row r="31" customFormat="false" ht="15" hidden="false" customHeight="false" outlineLevel="0" collapsed="false">
      <c r="A31" s="18" t="s">
        <v>17</v>
      </c>
      <c r="B31" s="5" t="s">
        <v>147</v>
      </c>
      <c r="C31" s="17" t="s">
        <v>66</v>
      </c>
      <c r="D31" s="17" t="s">
        <v>148</v>
      </c>
      <c r="E31" s="17" t="s">
        <v>149</v>
      </c>
      <c r="F31" s="17" t="s">
        <v>150</v>
      </c>
      <c r="G31" s="17" t="s">
        <v>151</v>
      </c>
    </row>
    <row r="32" customFormat="false" ht="15" hidden="false" customHeight="false" outlineLevel="0" collapsed="false">
      <c r="A32" s="18" t="s">
        <v>17</v>
      </c>
      <c r="B32" s="5" t="s">
        <v>152</v>
      </c>
      <c r="C32" s="17" t="s">
        <v>153</v>
      </c>
      <c r="D32" s="17" t="s">
        <v>148</v>
      </c>
      <c r="E32" s="17" t="s">
        <v>149</v>
      </c>
      <c r="F32" s="17" t="s">
        <v>154</v>
      </c>
      <c r="G32" s="17" t="s">
        <v>155</v>
      </c>
    </row>
    <row r="33" customFormat="false" ht="15" hidden="false" customHeight="false" outlineLevel="0" collapsed="false">
      <c r="A33" s="18" t="s">
        <v>17</v>
      </c>
      <c r="B33" s="5" t="s">
        <v>156</v>
      </c>
      <c r="C33" s="17" t="s">
        <v>157</v>
      </c>
      <c r="D33" s="17" t="s">
        <v>148</v>
      </c>
      <c r="E33" s="17" t="s">
        <v>149</v>
      </c>
      <c r="F33" s="17" t="s">
        <v>155</v>
      </c>
      <c r="G33" s="17" t="s">
        <v>158</v>
      </c>
    </row>
    <row r="34" customFormat="false" ht="23.85" hidden="false" customHeight="false" outlineLevel="0" collapsed="false">
      <c r="A34" s="18" t="s">
        <v>17</v>
      </c>
      <c r="B34" s="5" t="s">
        <v>159</v>
      </c>
      <c r="C34" s="17" t="s">
        <v>160</v>
      </c>
      <c r="D34" s="17" t="s">
        <v>148</v>
      </c>
      <c r="E34" s="17" t="s">
        <v>149</v>
      </c>
      <c r="F34" s="17" t="s">
        <v>161</v>
      </c>
      <c r="G34" s="17" t="s">
        <v>161</v>
      </c>
    </row>
    <row r="35" customFormat="false" ht="23.85" hidden="false" customHeight="false" outlineLevel="0" collapsed="false">
      <c r="A35" s="18" t="s">
        <v>17</v>
      </c>
      <c r="B35" s="5" t="s">
        <v>87</v>
      </c>
      <c r="C35" s="17" t="s">
        <v>66</v>
      </c>
      <c r="D35" s="17" t="s">
        <v>87</v>
      </c>
      <c r="E35" s="17" t="s">
        <v>88</v>
      </c>
      <c r="F35" s="17" t="s">
        <v>162</v>
      </c>
      <c r="G35" s="17" t="s">
        <v>163</v>
      </c>
    </row>
    <row r="36" customFormat="false" ht="15" hidden="false" customHeight="false" outlineLevel="0" collapsed="false">
      <c r="A36" s="18" t="s">
        <v>17</v>
      </c>
      <c r="B36" s="5" t="s">
        <v>91</v>
      </c>
      <c r="C36" s="17" t="s">
        <v>66</v>
      </c>
      <c r="D36" s="17" t="s">
        <v>87</v>
      </c>
      <c r="E36" s="17" t="s">
        <v>92</v>
      </c>
      <c r="F36" s="17" t="s">
        <v>162</v>
      </c>
      <c r="G36" s="17" t="s">
        <v>163</v>
      </c>
    </row>
    <row r="37" customFormat="false" ht="15" hidden="false" customHeight="false" outlineLevel="0" collapsed="false">
      <c r="A37" s="18" t="s">
        <v>17</v>
      </c>
      <c r="B37" s="5" t="s">
        <v>93</v>
      </c>
      <c r="C37" s="17" t="s">
        <v>66</v>
      </c>
      <c r="D37" s="17" t="s">
        <v>94</v>
      </c>
      <c r="E37" s="17" t="s">
        <v>95</v>
      </c>
      <c r="F37" s="17" t="s">
        <v>96</v>
      </c>
      <c r="G37" s="17" t="s">
        <v>96</v>
      </c>
    </row>
    <row r="39" customFormat="false" ht="15" hidden="false" customHeight="false" outlineLevel="0" collapsed="false">
      <c r="A39" s="4" t="s">
        <v>164</v>
      </c>
    </row>
    <row r="40" customFormat="false" ht="15" hidden="false" customHeight="false" outlineLevel="0" collapsed="false">
      <c r="A40" s="7" t="s">
        <v>58</v>
      </c>
      <c r="B40" s="7" t="s">
        <v>59</v>
      </c>
      <c r="C40" s="7" t="s">
        <v>60</v>
      </c>
      <c r="D40" s="7" t="s">
        <v>61</v>
      </c>
      <c r="E40" s="7" t="s">
        <v>62</v>
      </c>
      <c r="F40" s="7" t="s">
        <v>63</v>
      </c>
      <c r="G40" s="7" t="s">
        <v>64</v>
      </c>
    </row>
    <row r="41" customFormat="false" ht="15" hidden="false" customHeight="false" outlineLevel="0" collapsed="false">
      <c r="A41" s="18" t="s">
        <v>18</v>
      </c>
      <c r="B41" s="5" t="s">
        <v>165</v>
      </c>
      <c r="C41" s="17" t="s">
        <v>66</v>
      </c>
      <c r="D41" s="17" t="s">
        <v>67</v>
      </c>
      <c r="E41" s="17" t="s">
        <v>166</v>
      </c>
      <c r="F41" s="17" t="s">
        <v>167</v>
      </c>
      <c r="G41" s="17" t="s">
        <v>168</v>
      </c>
    </row>
    <row r="42" customFormat="false" ht="15" hidden="false" customHeight="false" outlineLevel="0" collapsed="false">
      <c r="A42" s="18" t="s">
        <v>18</v>
      </c>
      <c r="B42" s="5" t="s">
        <v>169</v>
      </c>
      <c r="C42" s="17" t="s">
        <v>66</v>
      </c>
      <c r="D42" s="17" t="s">
        <v>67</v>
      </c>
      <c r="E42" s="17" t="s">
        <v>170</v>
      </c>
      <c r="F42" s="17" t="s">
        <v>171</v>
      </c>
      <c r="G42" s="17" t="s">
        <v>172</v>
      </c>
    </row>
    <row r="43" customFormat="false" ht="15" hidden="false" customHeight="false" outlineLevel="0" collapsed="false">
      <c r="A43" s="18" t="s">
        <v>18</v>
      </c>
      <c r="B43" s="5" t="s">
        <v>119</v>
      </c>
      <c r="C43" s="17" t="s">
        <v>66</v>
      </c>
      <c r="D43" s="17" t="s">
        <v>67</v>
      </c>
      <c r="E43" s="17" t="s">
        <v>120</v>
      </c>
      <c r="F43" s="17" t="s">
        <v>173</v>
      </c>
      <c r="G43" s="17" t="s">
        <v>174</v>
      </c>
    </row>
    <row r="44" customFormat="false" ht="15" hidden="false" customHeight="false" outlineLevel="0" collapsed="false">
      <c r="A44" s="18" t="s">
        <v>18</v>
      </c>
      <c r="B44" s="5" t="s">
        <v>123</v>
      </c>
      <c r="C44" s="17" t="s">
        <v>66</v>
      </c>
      <c r="D44" s="17" t="s">
        <v>111</v>
      </c>
      <c r="E44" s="17" t="s">
        <v>124</v>
      </c>
      <c r="F44" s="17" t="s">
        <v>125</v>
      </c>
      <c r="G44" s="17" t="s">
        <v>175</v>
      </c>
    </row>
    <row r="45" customFormat="false" ht="15" hidden="false" customHeight="false" outlineLevel="0" collapsed="false">
      <c r="A45" s="18" t="s">
        <v>18</v>
      </c>
      <c r="B45" s="5" t="s">
        <v>127</v>
      </c>
      <c r="C45" s="17" t="s">
        <v>66</v>
      </c>
      <c r="D45" s="17" t="s">
        <v>111</v>
      </c>
      <c r="E45" s="17" t="s">
        <v>128</v>
      </c>
      <c r="F45" s="17" t="s">
        <v>129</v>
      </c>
      <c r="G45" s="17" t="s">
        <v>176</v>
      </c>
    </row>
    <row r="46" customFormat="false" ht="15" hidden="false" customHeight="false" outlineLevel="0" collapsed="false">
      <c r="A46" s="18" t="s">
        <v>18</v>
      </c>
      <c r="B46" s="5" t="s">
        <v>131</v>
      </c>
      <c r="C46" s="17" t="s">
        <v>66</v>
      </c>
      <c r="D46" s="17" t="s">
        <v>111</v>
      </c>
      <c r="E46" s="17" t="s">
        <v>132</v>
      </c>
      <c r="F46" s="17" t="s">
        <v>177</v>
      </c>
      <c r="G46" s="17" t="s">
        <v>178</v>
      </c>
    </row>
    <row r="47" customFormat="false" ht="15" hidden="false" customHeight="false" outlineLevel="0" collapsed="false">
      <c r="A47" s="18" t="s">
        <v>18</v>
      </c>
      <c r="B47" s="5" t="s">
        <v>135</v>
      </c>
      <c r="C47" s="17" t="s">
        <v>66</v>
      </c>
      <c r="D47" s="17" t="s">
        <v>111</v>
      </c>
      <c r="E47" s="17" t="s">
        <v>136</v>
      </c>
      <c r="F47" s="17" t="s">
        <v>179</v>
      </c>
      <c r="G47" s="17" t="s">
        <v>180</v>
      </c>
    </row>
    <row r="48" customFormat="false" ht="15" hidden="false" customHeight="false" outlineLevel="0" collapsed="false">
      <c r="A48" s="18" t="s">
        <v>18</v>
      </c>
      <c r="B48" s="5" t="s">
        <v>139</v>
      </c>
      <c r="C48" s="17" t="s">
        <v>66</v>
      </c>
      <c r="D48" s="17" t="s">
        <v>67</v>
      </c>
      <c r="E48" s="17" t="s">
        <v>140</v>
      </c>
      <c r="F48" s="17" t="s">
        <v>181</v>
      </c>
      <c r="G48" s="17" t="s">
        <v>182</v>
      </c>
    </row>
    <row r="49" customFormat="false" ht="15" hidden="false" customHeight="false" outlineLevel="0" collapsed="false">
      <c r="A49" s="18" t="s">
        <v>18</v>
      </c>
      <c r="B49" s="5" t="s">
        <v>143</v>
      </c>
      <c r="C49" s="17" t="s">
        <v>66</v>
      </c>
      <c r="D49" s="17" t="s">
        <v>67</v>
      </c>
      <c r="E49" s="17" t="s">
        <v>144</v>
      </c>
      <c r="F49" s="17" t="s">
        <v>183</v>
      </c>
      <c r="G49" s="17" t="s">
        <v>184</v>
      </c>
    </row>
    <row r="50" customFormat="false" ht="23.85" hidden="false" customHeight="false" outlineLevel="0" collapsed="false">
      <c r="A50" s="18" t="s">
        <v>18</v>
      </c>
      <c r="B50" s="5" t="s">
        <v>185</v>
      </c>
      <c r="C50" s="17" t="s">
        <v>66</v>
      </c>
      <c r="D50" s="17" t="s">
        <v>67</v>
      </c>
      <c r="E50" s="17" t="s">
        <v>68</v>
      </c>
      <c r="F50" s="17" t="s">
        <v>186</v>
      </c>
      <c r="G50" s="17" t="s">
        <v>187</v>
      </c>
    </row>
    <row r="51" customFormat="false" ht="23.85" hidden="false" customHeight="false" outlineLevel="0" collapsed="false">
      <c r="A51" s="18" t="s">
        <v>18</v>
      </c>
      <c r="B51" s="5" t="s">
        <v>188</v>
      </c>
      <c r="C51" s="17" t="s">
        <v>66</v>
      </c>
      <c r="D51" s="17" t="s">
        <v>67</v>
      </c>
      <c r="E51" s="17" t="s">
        <v>68</v>
      </c>
      <c r="F51" s="17" t="s">
        <v>189</v>
      </c>
      <c r="G51" s="17" t="s">
        <v>190</v>
      </c>
    </row>
    <row r="52" customFormat="false" ht="15" hidden="false" customHeight="false" outlineLevel="0" collapsed="false">
      <c r="A52" s="18" t="s">
        <v>18</v>
      </c>
      <c r="B52" s="5" t="s">
        <v>191</v>
      </c>
      <c r="C52" s="17" t="s">
        <v>66</v>
      </c>
      <c r="D52" s="17" t="s">
        <v>67</v>
      </c>
      <c r="E52" s="17" t="s">
        <v>192</v>
      </c>
      <c r="F52" s="17" t="s">
        <v>193</v>
      </c>
      <c r="G52" s="17" t="s">
        <v>194</v>
      </c>
    </row>
    <row r="53" customFormat="false" ht="15" hidden="false" customHeight="false" outlineLevel="0" collapsed="false">
      <c r="A53" s="18" t="s">
        <v>18</v>
      </c>
      <c r="B53" s="5" t="s">
        <v>74</v>
      </c>
      <c r="C53" s="17" t="s">
        <v>66</v>
      </c>
      <c r="D53" s="17" t="s">
        <v>74</v>
      </c>
      <c r="E53" s="17" t="s">
        <v>75</v>
      </c>
      <c r="F53" s="17" t="s">
        <v>195</v>
      </c>
      <c r="G53" s="17" t="s">
        <v>196</v>
      </c>
    </row>
    <row r="54" customFormat="false" ht="15" hidden="false" customHeight="false" outlineLevel="0" collapsed="false">
      <c r="A54" s="18" t="s">
        <v>18</v>
      </c>
      <c r="B54" s="5" t="s">
        <v>78</v>
      </c>
      <c r="C54" s="17" t="s">
        <v>66</v>
      </c>
      <c r="D54" s="17" t="s">
        <v>67</v>
      </c>
      <c r="E54" s="17" t="s">
        <v>79</v>
      </c>
      <c r="F54" s="17" t="s">
        <v>197</v>
      </c>
      <c r="G54" s="17" t="s">
        <v>198</v>
      </c>
    </row>
    <row r="55" customFormat="false" ht="15" hidden="false" customHeight="false" outlineLevel="0" collapsed="false">
      <c r="A55" s="18" t="s">
        <v>18</v>
      </c>
      <c r="B55" s="5" t="s">
        <v>199</v>
      </c>
      <c r="C55" s="17" t="s">
        <v>66</v>
      </c>
      <c r="D55" s="17" t="s">
        <v>200</v>
      </c>
      <c r="E55" s="17" t="s">
        <v>201</v>
      </c>
      <c r="F55" s="17" t="s">
        <v>202</v>
      </c>
      <c r="G55" s="17" t="s">
        <v>175</v>
      </c>
    </row>
    <row r="56" customFormat="false" ht="15" hidden="false" customHeight="false" outlineLevel="0" collapsed="false">
      <c r="A56" s="18" t="s">
        <v>18</v>
      </c>
      <c r="B56" s="5" t="s">
        <v>156</v>
      </c>
      <c r="C56" s="17" t="s">
        <v>66</v>
      </c>
      <c r="D56" s="17" t="s">
        <v>148</v>
      </c>
      <c r="E56" s="17" t="s">
        <v>149</v>
      </c>
      <c r="F56" s="17" t="s">
        <v>158</v>
      </c>
      <c r="G56" s="17" t="s">
        <v>158</v>
      </c>
    </row>
    <row r="57" customFormat="false" ht="15" hidden="false" customHeight="false" outlineLevel="0" collapsed="false">
      <c r="A57" s="18" t="s">
        <v>18</v>
      </c>
      <c r="B57" s="5" t="s">
        <v>159</v>
      </c>
      <c r="C57" s="17" t="s">
        <v>66</v>
      </c>
      <c r="D57" s="17" t="s">
        <v>148</v>
      </c>
      <c r="E57" s="17" t="s">
        <v>149</v>
      </c>
      <c r="F57" s="17" t="s">
        <v>161</v>
      </c>
      <c r="G57" s="17" t="s">
        <v>161</v>
      </c>
    </row>
    <row r="58" customFormat="false" ht="15" hidden="false" customHeight="false" outlineLevel="0" collapsed="false">
      <c r="A58" s="18" t="s">
        <v>18</v>
      </c>
      <c r="B58" s="5" t="s">
        <v>203</v>
      </c>
      <c r="C58" s="17" t="s">
        <v>66</v>
      </c>
      <c r="D58" s="17" t="s">
        <v>148</v>
      </c>
      <c r="E58" s="17" t="s">
        <v>149</v>
      </c>
      <c r="F58" s="17" t="s">
        <v>204</v>
      </c>
      <c r="G58" s="17" t="s">
        <v>204</v>
      </c>
    </row>
    <row r="59" customFormat="false" ht="15" hidden="false" customHeight="false" outlineLevel="0" collapsed="false">
      <c r="A59" s="18" t="s">
        <v>18</v>
      </c>
      <c r="B59" s="5" t="s">
        <v>205</v>
      </c>
      <c r="C59" s="17" t="s">
        <v>66</v>
      </c>
      <c r="D59" s="17" t="s">
        <v>148</v>
      </c>
      <c r="E59" s="17" t="s">
        <v>149</v>
      </c>
      <c r="F59" s="17" t="s">
        <v>150</v>
      </c>
      <c r="G59" s="17" t="s">
        <v>151</v>
      </c>
    </row>
    <row r="60" customFormat="false" ht="23.85" hidden="false" customHeight="false" outlineLevel="0" collapsed="false">
      <c r="A60" s="18" t="s">
        <v>18</v>
      </c>
      <c r="B60" s="5" t="s">
        <v>87</v>
      </c>
      <c r="C60" s="17" t="s">
        <v>66</v>
      </c>
      <c r="D60" s="17" t="s">
        <v>87</v>
      </c>
      <c r="E60" s="17" t="s">
        <v>88</v>
      </c>
      <c r="F60" s="17" t="s">
        <v>206</v>
      </c>
      <c r="G60" s="17" t="s">
        <v>207</v>
      </c>
    </row>
    <row r="61" customFormat="false" ht="15" hidden="false" customHeight="false" outlineLevel="0" collapsed="false">
      <c r="A61" s="18" t="s">
        <v>18</v>
      </c>
      <c r="B61" s="5" t="s">
        <v>91</v>
      </c>
      <c r="C61" s="17" t="s">
        <v>66</v>
      </c>
      <c r="D61" s="17" t="s">
        <v>87</v>
      </c>
      <c r="E61" s="17" t="s">
        <v>92</v>
      </c>
      <c r="F61" s="17" t="s">
        <v>206</v>
      </c>
      <c r="G61" s="17" t="s">
        <v>207</v>
      </c>
    </row>
    <row r="62" customFormat="false" ht="15" hidden="false" customHeight="false" outlineLevel="0" collapsed="false">
      <c r="A62" s="18" t="s">
        <v>18</v>
      </c>
      <c r="B62" s="5" t="s">
        <v>93</v>
      </c>
      <c r="C62" s="17" t="s">
        <v>66</v>
      </c>
      <c r="D62" s="17" t="s">
        <v>94</v>
      </c>
      <c r="E62" s="17" t="s">
        <v>95</v>
      </c>
      <c r="F62" s="17" t="s">
        <v>96</v>
      </c>
      <c r="G62" s="17" t="s">
        <v>96</v>
      </c>
    </row>
    <row r="64" customFormat="false" ht="15" hidden="false" customHeight="false" outlineLevel="0" collapsed="false">
      <c r="A64" s="4" t="s">
        <v>208</v>
      </c>
    </row>
    <row r="65" customFormat="false" ht="15" hidden="false" customHeight="false" outlineLevel="0" collapsed="false">
      <c r="A65" s="7" t="s">
        <v>58</v>
      </c>
      <c r="B65" s="7" t="s">
        <v>59</v>
      </c>
      <c r="C65" s="7" t="s">
        <v>60</v>
      </c>
      <c r="D65" s="7" t="s">
        <v>61</v>
      </c>
      <c r="E65" s="7" t="s">
        <v>62</v>
      </c>
      <c r="F65" s="7" t="s">
        <v>63</v>
      </c>
      <c r="G65" s="7" t="s">
        <v>64</v>
      </c>
    </row>
    <row r="66" customFormat="false" ht="23.85" hidden="false" customHeight="false" outlineLevel="0" collapsed="false">
      <c r="A66" s="18" t="s">
        <v>19</v>
      </c>
      <c r="B66" s="5" t="s">
        <v>65</v>
      </c>
      <c r="C66" s="17" t="s">
        <v>66</v>
      </c>
      <c r="D66" s="17" t="s">
        <v>67</v>
      </c>
      <c r="E66" s="17" t="s">
        <v>68</v>
      </c>
      <c r="F66" s="17" t="s">
        <v>209</v>
      </c>
      <c r="G66" s="17" t="s">
        <v>210</v>
      </c>
    </row>
    <row r="67" customFormat="false" ht="23.85" hidden="false" customHeight="false" outlineLevel="0" collapsed="false">
      <c r="A67" s="18" t="s">
        <v>19</v>
      </c>
      <c r="B67" s="5" t="s">
        <v>71</v>
      </c>
      <c r="C67" s="17" t="s">
        <v>66</v>
      </c>
      <c r="D67" s="17" t="s">
        <v>67</v>
      </c>
      <c r="E67" s="17" t="s">
        <v>68</v>
      </c>
      <c r="F67" s="17" t="s">
        <v>211</v>
      </c>
      <c r="G67" s="17" t="s">
        <v>212</v>
      </c>
    </row>
    <row r="68" customFormat="false" ht="15" hidden="false" customHeight="false" outlineLevel="0" collapsed="false">
      <c r="A68" s="18" t="s">
        <v>19</v>
      </c>
      <c r="B68" s="5" t="s">
        <v>82</v>
      </c>
      <c r="C68" s="17" t="s">
        <v>66</v>
      </c>
      <c r="D68" s="17" t="s">
        <v>83</v>
      </c>
      <c r="E68" s="17" t="s">
        <v>84</v>
      </c>
      <c r="F68" s="17" t="s">
        <v>213</v>
      </c>
      <c r="G68" s="17" t="s">
        <v>214</v>
      </c>
    </row>
    <row r="69" customFormat="false" ht="15" hidden="false" customHeight="false" outlineLevel="0" collapsed="false">
      <c r="A69" s="18" t="s">
        <v>19</v>
      </c>
      <c r="B69" s="5" t="s">
        <v>74</v>
      </c>
      <c r="C69" s="17" t="s">
        <v>66</v>
      </c>
      <c r="D69" s="17" t="s">
        <v>74</v>
      </c>
      <c r="E69" s="17" t="s">
        <v>75</v>
      </c>
      <c r="F69" s="17" t="s">
        <v>215</v>
      </c>
      <c r="G69" s="17" t="s">
        <v>216</v>
      </c>
    </row>
    <row r="70" customFormat="false" ht="15" hidden="false" customHeight="false" outlineLevel="0" collapsed="false">
      <c r="A70" s="18" t="s">
        <v>19</v>
      </c>
      <c r="B70" s="5" t="s">
        <v>78</v>
      </c>
      <c r="C70" s="17" t="s">
        <v>66</v>
      </c>
      <c r="D70" s="17" t="s">
        <v>67</v>
      </c>
      <c r="E70" s="17" t="s">
        <v>79</v>
      </c>
      <c r="F70" s="17" t="s">
        <v>217</v>
      </c>
      <c r="G70" s="17" t="s">
        <v>218</v>
      </c>
    </row>
    <row r="71" customFormat="false" ht="15" hidden="false" customHeight="false" outlineLevel="0" collapsed="false">
      <c r="A71" s="18" t="s">
        <v>19</v>
      </c>
      <c r="B71" s="5" t="s">
        <v>219</v>
      </c>
      <c r="C71" s="17" t="s">
        <v>66</v>
      </c>
      <c r="D71" s="17" t="s">
        <v>67</v>
      </c>
      <c r="E71" s="17" t="s">
        <v>220</v>
      </c>
      <c r="F71" s="17" t="s">
        <v>221</v>
      </c>
      <c r="G71" s="17" t="s">
        <v>222</v>
      </c>
    </row>
    <row r="72" customFormat="false" ht="15" hidden="false" customHeight="false" outlineLevel="0" collapsed="false">
      <c r="A72" s="18" t="s">
        <v>19</v>
      </c>
      <c r="B72" s="5" t="s">
        <v>223</v>
      </c>
      <c r="C72" s="17" t="s">
        <v>66</v>
      </c>
      <c r="D72" s="17" t="s">
        <v>83</v>
      </c>
      <c r="E72" s="17" t="s">
        <v>224</v>
      </c>
      <c r="F72" s="17" t="s">
        <v>225</v>
      </c>
      <c r="G72" s="17" t="s">
        <v>226</v>
      </c>
    </row>
    <row r="73" customFormat="false" ht="15" hidden="false" customHeight="false" outlineLevel="0" collapsed="false">
      <c r="A73" s="18" t="s">
        <v>19</v>
      </c>
      <c r="B73" s="5" t="s">
        <v>227</v>
      </c>
      <c r="C73" s="17" t="s">
        <v>66</v>
      </c>
      <c r="D73" s="17" t="s">
        <v>111</v>
      </c>
      <c r="E73" s="17" t="s">
        <v>228</v>
      </c>
      <c r="F73" s="17" t="s">
        <v>229</v>
      </c>
      <c r="G73" s="17" t="s">
        <v>230</v>
      </c>
    </row>
    <row r="74" customFormat="false" ht="15" hidden="false" customHeight="false" outlineLevel="0" collapsed="false">
      <c r="A74" s="18" t="s">
        <v>19</v>
      </c>
      <c r="B74" s="5" t="s">
        <v>231</v>
      </c>
      <c r="C74" s="17" t="s">
        <v>66</v>
      </c>
      <c r="D74" s="17" t="s">
        <v>67</v>
      </c>
      <c r="E74" s="17" t="s">
        <v>166</v>
      </c>
      <c r="F74" s="17" t="s">
        <v>232</v>
      </c>
      <c r="G74" s="17" t="s">
        <v>233</v>
      </c>
    </row>
    <row r="75" customFormat="false" ht="15" hidden="false" customHeight="false" outlineLevel="0" collapsed="false">
      <c r="A75" s="18" t="s">
        <v>19</v>
      </c>
      <c r="B75" s="5" t="s">
        <v>234</v>
      </c>
      <c r="C75" s="17" t="s">
        <v>66</v>
      </c>
      <c r="D75" s="17" t="s">
        <v>148</v>
      </c>
      <c r="E75" s="17" t="s">
        <v>149</v>
      </c>
      <c r="F75" s="17" t="s">
        <v>235</v>
      </c>
      <c r="G75" s="17" t="s">
        <v>236</v>
      </c>
    </row>
    <row r="76" customFormat="false" ht="15" hidden="false" customHeight="false" outlineLevel="0" collapsed="false">
      <c r="A76" s="18" t="s">
        <v>19</v>
      </c>
      <c r="B76" s="5" t="s">
        <v>237</v>
      </c>
      <c r="C76" s="17" t="s">
        <v>66</v>
      </c>
      <c r="D76" s="17" t="s">
        <v>148</v>
      </c>
      <c r="E76" s="17" t="s">
        <v>149</v>
      </c>
      <c r="F76" s="17" t="s">
        <v>238</v>
      </c>
      <c r="G76" s="17" t="s">
        <v>238</v>
      </c>
    </row>
    <row r="77" customFormat="false" ht="23.85" hidden="false" customHeight="false" outlineLevel="0" collapsed="false">
      <c r="A77" s="18" t="s">
        <v>19</v>
      </c>
      <c r="B77" s="5" t="s">
        <v>239</v>
      </c>
      <c r="C77" s="17" t="s">
        <v>66</v>
      </c>
      <c r="D77" s="17" t="s">
        <v>87</v>
      </c>
      <c r="E77" s="17" t="s">
        <v>88</v>
      </c>
      <c r="F77" s="17" t="s">
        <v>240</v>
      </c>
      <c r="G77" s="17" t="s">
        <v>241</v>
      </c>
    </row>
    <row r="79" customFormat="false" ht="15" hidden="false" customHeight="false" outlineLevel="0" collapsed="false">
      <c r="A79" s="4" t="s">
        <v>242</v>
      </c>
    </row>
    <row r="80" customFormat="false" ht="15.75" hidden="false" customHeight="true" outlineLevel="0" collapsed="false">
      <c r="A80" s="5" t="s">
        <v>243</v>
      </c>
      <c r="B80" s="5"/>
      <c r="C80" s="17" t="s">
        <v>244</v>
      </c>
      <c r="D80" s="17"/>
      <c r="E80" s="17"/>
      <c r="F80" s="17"/>
      <c r="G80" s="17"/>
    </row>
    <row r="81" customFormat="false" ht="15.75" hidden="false" customHeight="true" outlineLevel="0" collapsed="false">
      <c r="A81" s="5" t="s">
        <v>245</v>
      </c>
      <c r="B81" s="5"/>
      <c r="C81" s="17" t="s">
        <v>246</v>
      </c>
      <c r="D81" s="17"/>
      <c r="E81" s="17"/>
      <c r="F81" s="17"/>
      <c r="G81" s="17"/>
    </row>
    <row r="82" customFormat="false" ht="15.75" hidden="false" customHeight="true" outlineLevel="0" collapsed="false">
      <c r="A82" s="5" t="s">
        <v>247</v>
      </c>
      <c r="B82" s="5"/>
      <c r="C82" s="17" t="s">
        <v>248</v>
      </c>
      <c r="D82" s="17"/>
      <c r="E82" s="17"/>
      <c r="F82" s="17"/>
      <c r="G82" s="17"/>
    </row>
  </sheetData>
  <mergeCells count="7">
    <mergeCell ref="A2:G2"/>
    <mergeCell ref="A80:B80"/>
    <mergeCell ref="C80:G80"/>
    <mergeCell ref="A81:B81"/>
    <mergeCell ref="C81:G81"/>
    <mergeCell ref="A82:B82"/>
    <mergeCell ref="C82:G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58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249</v>
      </c>
    </row>
    <row r="2" customFormat="false" ht="30" hidden="false" customHeight="true" outlineLevel="0" collapsed="false">
      <c r="A2" s="14" t="s">
        <v>250</v>
      </c>
      <c r="B2" s="14"/>
      <c r="C2" s="14"/>
      <c r="D2" s="14"/>
      <c r="E2" s="14"/>
    </row>
    <row r="4" customFormat="false" ht="15" hidden="false" customHeight="false" outlineLevel="0" collapsed="false">
      <c r="A4" s="7" t="s">
        <v>251</v>
      </c>
      <c r="B4" s="7" t="s">
        <v>252</v>
      </c>
      <c r="C4" s="7" t="s">
        <v>253</v>
      </c>
      <c r="D4" s="7" t="s">
        <v>254</v>
      </c>
      <c r="E4" s="7" t="s">
        <v>255</v>
      </c>
    </row>
    <row r="5" customFormat="false" ht="15" hidden="false" customHeight="false" outlineLevel="0" collapsed="false">
      <c r="A5" s="19" t="s">
        <v>256</v>
      </c>
      <c r="B5" s="20" t="s">
        <v>257</v>
      </c>
      <c r="C5" s="17" t="s">
        <v>258</v>
      </c>
      <c r="D5" s="17" t="s">
        <v>259</v>
      </c>
      <c r="E5" s="20" t="s">
        <v>260</v>
      </c>
    </row>
    <row r="6" customFormat="false" ht="15" hidden="false" customHeight="false" outlineLevel="0" collapsed="false">
      <c r="A6" s="19" t="s">
        <v>261</v>
      </c>
      <c r="B6" s="20" t="s">
        <v>262</v>
      </c>
      <c r="C6" s="17" t="s">
        <v>263</v>
      </c>
      <c r="D6" s="17" t="s">
        <v>264</v>
      </c>
      <c r="E6" s="20" t="s">
        <v>260</v>
      </c>
    </row>
    <row r="7" customFormat="false" ht="15" hidden="false" customHeight="false" outlineLevel="0" collapsed="false">
      <c r="A7" s="19" t="s">
        <v>265</v>
      </c>
      <c r="B7" s="20" t="s">
        <v>266</v>
      </c>
      <c r="C7" s="17" t="s">
        <v>267</v>
      </c>
      <c r="D7" s="17" t="s">
        <v>268</v>
      </c>
      <c r="E7" s="20" t="s">
        <v>260</v>
      </c>
    </row>
    <row r="8" customFormat="false" ht="15" hidden="false" customHeight="false" outlineLevel="0" collapsed="false">
      <c r="A8" s="19" t="s">
        <v>269</v>
      </c>
      <c r="B8" s="20" t="s">
        <v>266</v>
      </c>
      <c r="C8" s="17" t="s">
        <v>270</v>
      </c>
      <c r="D8" s="17" t="s">
        <v>271</v>
      </c>
      <c r="E8" s="20" t="s">
        <v>260</v>
      </c>
    </row>
    <row r="9" customFormat="false" ht="15" hidden="false" customHeight="false" outlineLevel="0" collapsed="false">
      <c r="A9" s="19" t="s">
        <v>272</v>
      </c>
      <c r="B9" s="20" t="s">
        <v>266</v>
      </c>
      <c r="C9" s="17" t="s">
        <v>270</v>
      </c>
      <c r="D9" s="17" t="s">
        <v>273</v>
      </c>
      <c r="E9" s="20" t="s">
        <v>260</v>
      </c>
    </row>
    <row r="10" customFormat="false" ht="15" hidden="false" customHeight="false" outlineLevel="0" collapsed="false">
      <c r="A10" s="19" t="s">
        <v>274</v>
      </c>
      <c r="B10" s="20" t="s">
        <v>266</v>
      </c>
      <c r="C10" s="17" t="s">
        <v>275</v>
      </c>
      <c r="D10" s="17" t="s">
        <v>276</v>
      </c>
      <c r="E10" s="20" t="s">
        <v>260</v>
      </c>
    </row>
    <row r="11" customFormat="false" ht="15" hidden="false" customHeight="false" outlineLevel="0" collapsed="false">
      <c r="A11" s="19" t="s">
        <v>277</v>
      </c>
      <c r="B11" s="20" t="s">
        <v>266</v>
      </c>
      <c r="C11" s="17" t="s">
        <v>278</v>
      </c>
      <c r="D11" s="17" t="s">
        <v>279</v>
      </c>
      <c r="E11" s="20" t="s">
        <v>260</v>
      </c>
    </row>
    <row r="12" customFormat="false" ht="15" hidden="false" customHeight="false" outlineLevel="0" collapsed="false">
      <c r="A12" s="19" t="s">
        <v>280</v>
      </c>
      <c r="B12" s="20" t="s">
        <v>266</v>
      </c>
      <c r="C12" s="17" t="s">
        <v>258</v>
      </c>
      <c r="D12" s="17" t="s">
        <v>281</v>
      </c>
      <c r="E12" s="20" t="s">
        <v>260</v>
      </c>
    </row>
    <row r="13" customFormat="false" ht="15" hidden="false" customHeight="false" outlineLevel="0" collapsed="false">
      <c r="A13" s="19" t="s">
        <v>282</v>
      </c>
      <c r="B13" s="20" t="s">
        <v>257</v>
      </c>
      <c r="C13" s="17" t="s">
        <v>283</v>
      </c>
      <c r="D13" s="17" t="s">
        <v>284</v>
      </c>
      <c r="E13" s="20" t="s">
        <v>260</v>
      </c>
    </row>
    <row r="14" customFormat="false" ht="15" hidden="false" customHeight="false" outlineLevel="0" collapsed="false">
      <c r="A14" s="19" t="s">
        <v>285</v>
      </c>
      <c r="B14" s="20" t="s">
        <v>262</v>
      </c>
      <c r="C14" s="17" t="s">
        <v>286</v>
      </c>
      <c r="D14" s="17" t="s">
        <v>287</v>
      </c>
      <c r="E14" s="20" t="s">
        <v>260</v>
      </c>
    </row>
    <row r="15" customFormat="false" ht="15" hidden="false" customHeight="false" outlineLevel="0" collapsed="false">
      <c r="A15" s="19" t="s">
        <v>288</v>
      </c>
      <c r="B15" s="20" t="s">
        <v>266</v>
      </c>
      <c r="C15" s="17" t="s">
        <v>289</v>
      </c>
      <c r="D15" s="17" t="s">
        <v>290</v>
      </c>
      <c r="E15" s="20" t="s">
        <v>260</v>
      </c>
    </row>
    <row r="16" customFormat="false" ht="15" hidden="false" customHeight="false" outlineLevel="0" collapsed="false">
      <c r="A16" s="19" t="s">
        <v>291</v>
      </c>
      <c r="B16" s="20" t="s">
        <v>266</v>
      </c>
      <c r="C16" s="17" t="s">
        <v>292</v>
      </c>
      <c r="D16" s="17" t="s">
        <v>293</v>
      </c>
      <c r="E16" s="20" t="s">
        <v>260</v>
      </c>
    </row>
    <row r="17" customFormat="false" ht="15" hidden="false" customHeight="false" outlineLevel="0" collapsed="false">
      <c r="A17" s="19" t="s">
        <v>294</v>
      </c>
      <c r="B17" s="20" t="s">
        <v>257</v>
      </c>
      <c r="C17" s="17" t="s">
        <v>295</v>
      </c>
      <c r="D17" s="17" t="s">
        <v>296</v>
      </c>
      <c r="E17" s="20" t="s">
        <v>260</v>
      </c>
    </row>
    <row r="18" customFormat="false" ht="15" hidden="false" customHeight="false" outlineLevel="0" collapsed="false">
      <c r="A18" s="19" t="s">
        <v>297</v>
      </c>
      <c r="B18" s="20" t="s">
        <v>257</v>
      </c>
      <c r="C18" s="17" t="s">
        <v>298</v>
      </c>
      <c r="D18" s="17" t="s">
        <v>299</v>
      </c>
      <c r="E18" s="20" t="s">
        <v>260</v>
      </c>
    </row>
    <row r="19" customFormat="false" ht="15" hidden="false" customHeight="false" outlineLevel="0" collapsed="false">
      <c r="A19" s="19" t="s">
        <v>300</v>
      </c>
      <c r="B19" s="20" t="s">
        <v>257</v>
      </c>
      <c r="C19" s="17" t="s">
        <v>301</v>
      </c>
      <c r="D19" s="17" t="s">
        <v>302</v>
      </c>
      <c r="E19" s="20" t="s">
        <v>303</v>
      </c>
    </row>
    <row r="20" customFormat="false" ht="15" hidden="false" customHeight="false" outlineLevel="0" collapsed="false">
      <c r="A20" s="19" t="s">
        <v>304</v>
      </c>
      <c r="B20" s="20" t="s">
        <v>305</v>
      </c>
      <c r="C20" s="17" t="s">
        <v>306</v>
      </c>
      <c r="D20" s="17" t="s">
        <v>307</v>
      </c>
      <c r="E20" s="20" t="s">
        <v>303</v>
      </c>
    </row>
    <row r="21" customFormat="false" ht="15" hidden="false" customHeight="false" outlineLevel="0" collapsed="false">
      <c r="A21" s="19" t="s">
        <v>308</v>
      </c>
      <c r="B21" s="20" t="s">
        <v>309</v>
      </c>
      <c r="C21" s="17" t="s">
        <v>310</v>
      </c>
      <c r="D21" s="17" t="s">
        <v>311</v>
      </c>
      <c r="E21" s="20" t="s">
        <v>303</v>
      </c>
    </row>
    <row r="22" customFormat="false" ht="15" hidden="false" customHeight="false" outlineLevel="0" collapsed="false">
      <c r="A22" s="19" t="s">
        <v>312</v>
      </c>
      <c r="B22" s="20" t="s">
        <v>313</v>
      </c>
      <c r="C22" s="17" t="s">
        <v>314</v>
      </c>
      <c r="D22" s="17" t="s">
        <v>315</v>
      </c>
      <c r="E22" s="20" t="s">
        <v>303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95"/>
    <col collapsed="false" customWidth="true" hidden="false" outlineLevel="0" max="4" min="4" style="1" width="38"/>
  </cols>
  <sheetData>
    <row r="1" customFormat="false" ht="17.35" hidden="false" customHeight="false" outlineLevel="0" collapsed="false">
      <c r="A1" s="2" t="s">
        <v>316</v>
      </c>
    </row>
    <row r="2" customFormat="false" ht="30" hidden="false" customHeight="true" outlineLevel="0" collapsed="false">
      <c r="A2" s="14" t="s">
        <v>317</v>
      </c>
      <c r="B2" s="14"/>
      <c r="C2" s="14"/>
      <c r="D2" s="14"/>
    </row>
    <row r="4" customFormat="false" ht="15" hidden="false" customHeight="false" outlineLevel="0" collapsed="false">
      <c r="A4" s="7" t="s">
        <v>318</v>
      </c>
      <c r="B4" s="7" t="s">
        <v>319</v>
      </c>
      <c r="C4" s="7" t="s">
        <v>320</v>
      </c>
      <c r="D4" s="7" t="s">
        <v>321</v>
      </c>
    </row>
    <row r="5" customFormat="false" ht="23.85" hidden="false" customHeight="false" outlineLevel="0" collapsed="false">
      <c r="A5" s="21" t="s">
        <v>322</v>
      </c>
      <c r="B5" s="19" t="s">
        <v>323</v>
      </c>
      <c r="C5" s="17" t="s">
        <v>324</v>
      </c>
      <c r="D5" s="22"/>
    </row>
    <row r="6" customFormat="false" ht="15" hidden="false" customHeight="false" outlineLevel="0" collapsed="false">
      <c r="A6" s="21" t="s">
        <v>325</v>
      </c>
      <c r="B6" s="19" t="s">
        <v>326</v>
      </c>
      <c r="C6" s="17" t="s">
        <v>327</v>
      </c>
      <c r="D6" s="22"/>
    </row>
    <row r="7" customFormat="false" ht="23.85" hidden="false" customHeight="false" outlineLevel="0" collapsed="false">
      <c r="A7" s="21" t="s">
        <v>328</v>
      </c>
      <c r="B7" s="19" t="s">
        <v>329</v>
      </c>
      <c r="C7" s="17" t="s">
        <v>330</v>
      </c>
      <c r="D7" s="22"/>
    </row>
    <row r="8" customFormat="false" ht="23.85" hidden="false" customHeight="false" outlineLevel="0" collapsed="false">
      <c r="A8" s="21" t="s">
        <v>331</v>
      </c>
      <c r="B8" s="19" t="s">
        <v>332</v>
      </c>
      <c r="C8" s="17" t="s">
        <v>333</v>
      </c>
      <c r="D8" s="22"/>
    </row>
    <row r="9" customFormat="false" ht="23.85" hidden="false" customHeight="false" outlineLevel="0" collapsed="false">
      <c r="A9" s="21" t="s">
        <v>334</v>
      </c>
      <c r="B9" s="19" t="s">
        <v>335</v>
      </c>
      <c r="C9" s="17" t="s">
        <v>336</v>
      </c>
      <c r="D9" s="22"/>
    </row>
    <row r="10" customFormat="false" ht="15" hidden="false" customHeight="false" outlineLevel="0" collapsed="false">
      <c r="A10" s="21" t="s">
        <v>337</v>
      </c>
      <c r="B10" s="19" t="s">
        <v>338</v>
      </c>
      <c r="C10" s="17" t="s">
        <v>339</v>
      </c>
      <c r="D10" s="22"/>
    </row>
    <row r="11" customFormat="false" ht="23.85" hidden="false" customHeight="false" outlineLevel="0" collapsed="false">
      <c r="A11" s="21" t="s">
        <v>340</v>
      </c>
      <c r="B11" s="19" t="s">
        <v>341</v>
      </c>
      <c r="C11" s="17" t="s">
        <v>342</v>
      </c>
      <c r="D11" s="22"/>
    </row>
    <row r="12" customFormat="false" ht="15" hidden="false" customHeight="false" outlineLevel="0" collapsed="false">
      <c r="A12" s="21" t="s">
        <v>343</v>
      </c>
      <c r="B12" s="19" t="s">
        <v>344</v>
      </c>
      <c r="C12" s="17" t="s">
        <v>345</v>
      </c>
      <c r="D12" s="22"/>
    </row>
    <row r="13" customFormat="false" ht="23.85" hidden="false" customHeight="false" outlineLevel="0" collapsed="false">
      <c r="A13" s="21" t="s">
        <v>346</v>
      </c>
      <c r="B13" s="19" t="s">
        <v>347</v>
      </c>
      <c r="C13" s="17" t="s">
        <v>348</v>
      </c>
      <c r="D13" s="22"/>
    </row>
    <row r="14" customFormat="false" ht="15" hidden="false" customHeight="false" outlineLevel="0" collapsed="false">
      <c r="A14" s="21" t="s">
        <v>349</v>
      </c>
      <c r="B14" s="19" t="s">
        <v>350</v>
      </c>
      <c r="C14" s="17" t="s">
        <v>351</v>
      </c>
      <c r="D14" s="22"/>
    </row>
    <row r="15" customFormat="false" ht="23.85" hidden="false" customHeight="false" outlineLevel="0" collapsed="false">
      <c r="A15" s="21" t="s">
        <v>352</v>
      </c>
      <c r="B15" s="19" t="s">
        <v>353</v>
      </c>
      <c r="C15" s="17" t="s">
        <v>354</v>
      </c>
      <c r="D15" s="22"/>
    </row>
    <row r="16" customFormat="false" ht="23.85" hidden="false" customHeight="false" outlineLevel="0" collapsed="false">
      <c r="A16" s="21" t="s">
        <v>355</v>
      </c>
      <c r="B16" s="19" t="s">
        <v>356</v>
      </c>
      <c r="C16" s="17" t="s">
        <v>357</v>
      </c>
      <c r="D16" s="22"/>
    </row>
    <row r="17" customFormat="false" ht="35.05" hidden="false" customHeight="false" outlineLevel="0" collapsed="false">
      <c r="A17" s="21" t="s">
        <v>358</v>
      </c>
      <c r="B17" s="19" t="s">
        <v>359</v>
      </c>
      <c r="C17" s="17" t="s">
        <v>360</v>
      </c>
      <c r="D17" s="22"/>
    </row>
    <row r="18" customFormat="false" ht="23.85" hidden="false" customHeight="false" outlineLevel="0" collapsed="false">
      <c r="A18" s="21" t="s">
        <v>361</v>
      </c>
      <c r="B18" s="19" t="s">
        <v>362</v>
      </c>
      <c r="C18" s="17" t="s">
        <v>363</v>
      </c>
      <c r="D18" s="22"/>
    </row>
    <row r="19" customFormat="false" ht="15" hidden="false" customHeight="false" outlineLevel="0" collapsed="false">
      <c r="A19" s="21" t="s">
        <v>364</v>
      </c>
      <c r="B19" s="19" t="s">
        <v>365</v>
      </c>
      <c r="C19" s="17" t="s">
        <v>366</v>
      </c>
      <c r="D19" s="22"/>
    </row>
    <row r="20" customFormat="false" ht="15" hidden="false" customHeight="false" outlineLevel="0" collapsed="false">
      <c r="A20" s="21" t="s">
        <v>367</v>
      </c>
      <c r="B20" s="19" t="s">
        <v>368</v>
      </c>
      <c r="C20" s="17" t="s">
        <v>369</v>
      </c>
      <c r="D20" s="22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27.75" hidden="false" customHeight="true" outlineLevel="0" collapsed="false">
      <c r="A1" s="7" t="s">
        <v>31</v>
      </c>
      <c r="B1" s="7" t="s">
        <v>370</v>
      </c>
      <c r="C1" s="7" t="s">
        <v>32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33</v>
      </c>
      <c r="J1" s="7" t="s">
        <v>376</v>
      </c>
      <c r="K1" s="7" t="s">
        <v>34</v>
      </c>
      <c r="L1" s="7" t="s">
        <v>35</v>
      </c>
      <c r="M1" s="7" t="s">
        <v>36</v>
      </c>
    </row>
    <row r="2" customFormat="false" ht="135.8" hidden="false" customHeight="false" outlineLevel="0" collapsed="false">
      <c r="A2" s="21" t="s">
        <v>377</v>
      </c>
      <c r="B2" s="17" t="s">
        <v>378</v>
      </c>
      <c r="C2" s="17" t="s">
        <v>379</v>
      </c>
      <c r="D2" s="17" t="s">
        <v>51</v>
      </c>
      <c r="E2" s="20" t="s">
        <v>380</v>
      </c>
      <c r="F2" s="17" t="s">
        <v>381</v>
      </c>
      <c r="G2" s="17" t="s">
        <v>382</v>
      </c>
      <c r="H2" s="17" t="s">
        <v>383</v>
      </c>
      <c r="I2" s="17" t="s">
        <v>384</v>
      </c>
      <c r="J2" s="20" t="s">
        <v>385</v>
      </c>
      <c r="K2" s="22" t="inlineStr">
        <is>
          <t xml:space="preserve">Created rider from logistics form, read local logged invitation, activated, signed in, verified single-use link and denied public registration. External email delivery unverified.</t>
        </is>
      </c>
      <c r="L2" t="inlineStr">
        <is>
          <t xml:space="preserve">PARTIAL</t>
        </is>
      </c>
      <c r="M2" s="22" t="inlineStr">
        <is>
          <t xml:space="preserve">NOT CERTIFIED. PARTIAL: Created rider from logistics form, read local logged invitation, activated, signed in, verified single-use link and denied public registration. External email delivery unverified.
Evidence: regression-final.xml: Tests.Feature.TeacherRiderInvitationTest::test_tc_rid_001_valid_rider_is_created_once_with_documents_and_email_invitation; rider-invitation-browser.json</t>
        </is>
      </c>
    </row>
    <row r="3" customFormat="false" ht="35.05" hidden="false" customHeight="false" outlineLevel="0" collapsed="false">
      <c r="A3" s="21" t="s">
        <v>386</v>
      </c>
      <c r="B3" s="17" t="s">
        <v>387</v>
      </c>
      <c r="C3" s="17" t="s">
        <v>388</v>
      </c>
      <c r="D3" s="17" t="s">
        <v>43</v>
      </c>
      <c r="E3" s="20" t="s">
        <v>380</v>
      </c>
      <c r="F3" s="17" t="s">
        <v>389</v>
      </c>
      <c r="G3" s="17" t="s">
        <v>390</v>
      </c>
      <c r="H3" s="17" t="s">
        <v>391</v>
      </c>
      <c r="I3" s="17" t="s">
        <v>392</v>
      </c>
      <c r="J3" s="20" t="s">
        <v>322</v>
      </c>
      <c r="K3" s="22" t="inlineStr">
        <is>
          <t xml:space="preserve">Related HTTP/database assertions passed on isolated SQLite fixtures. Full workbook UI steps and all stated data variants are not certified by this result.</t>
        </is>
      </c>
      <c r="L3" t="inlineStr">
        <is>
          <t xml:space="preserve">PARTIAL</t>
        </is>
      </c>
      <c r="M3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Tests.Feature.TeacherRiderInvitationTest::test_tc_rid_002_003_all_required_fields_must_be_present</t>
        </is>
      </c>
    </row>
    <row r="4" customFormat="false" ht="135.8" hidden="false" customHeight="false" outlineLevel="0" collapsed="false">
      <c r="A4" s="21" t="s">
        <v>393</v>
      </c>
      <c r="B4" s="17" t="s">
        <v>387</v>
      </c>
      <c r="C4" s="17" t="s">
        <v>394</v>
      </c>
      <c r="D4" s="17" t="s">
        <v>43</v>
      </c>
      <c r="E4" s="20" t="s">
        <v>380</v>
      </c>
      <c r="F4" s="17" t="s">
        <v>389</v>
      </c>
      <c r="G4" s="17" t="s">
        <v>395</v>
      </c>
      <c r="H4" s="17" t="s">
        <v>396</v>
      </c>
      <c r="I4" s="17" t="s">
        <v>397</v>
      </c>
      <c r="J4" s="20" t="s">
        <v>322</v>
      </c>
      <c r="K4" s="22" t="inlineStr">
        <is>
          <t xml:space="preserve">Related HTTP/database assertions passed on isolated SQLite fixtures. Full workbook UI steps and all stated data variants are not certified by this result.</t>
        </is>
      </c>
      <c r="L4" t="inlineStr">
        <is>
          <t xml:space="preserve">PARTIAL</t>
        </is>
      </c>
      <c r="M4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Tests.Feature.TeacherRiderInvitationTest::test_tc_rid_002_003_all_required_fields_must_be_present</t>
        </is>
      </c>
    </row>
    <row r="5" customFormat="false" ht="35.05" hidden="false" customHeight="false" outlineLevel="0" collapsed="false">
      <c r="A5" s="21" t="s">
        <v>398</v>
      </c>
      <c r="B5" s="17" t="s">
        <v>399</v>
      </c>
      <c r="C5" s="17" t="s">
        <v>400</v>
      </c>
      <c r="D5" s="17" t="s">
        <v>43</v>
      </c>
      <c r="E5" s="20" t="s">
        <v>401</v>
      </c>
      <c r="F5" s="17" t="s">
        <v>389</v>
      </c>
      <c r="G5" s="17" t="s">
        <v>402</v>
      </c>
      <c r="H5" s="17" t="s">
        <v>403</v>
      </c>
      <c r="I5" s="17" t="s">
        <v>404</v>
      </c>
      <c r="J5" s="20" t="s">
        <v>325</v>
      </c>
      <c r="K5" s="22" t="inlineStr">
        <is>
          <t xml:space="preserve">Related HTTP/database assertions passed on isolated SQLite fixtures. Full workbook UI steps and all stated data variants are not certified by this result.</t>
        </is>
      </c>
      <c r="L5" t="inlineStr">
        <is>
          <t xml:space="preserve">PARTIAL</t>
        </is>
      </c>
      <c r="M5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Tests.Feature.TeacherRiderInvitationTest::test_tc_rid_004_005_name_format_and_length</t>
        </is>
      </c>
    </row>
    <row r="6" customFormat="false" ht="68.65" hidden="false" customHeight="false" outlineLevel="0" collapsed="false">
      <c r="A6" s="21" t="s">
        <v>405</v>
      </c>
      <c r="B6" s="17" t="s">
        <v>399</v>
      </c>
      <c r="C6" s="17" t="s">
        <v>406</v>
      </c>
      <c r="D6" s="17" t="s">
        <v>45</v>
      </c>
      <c r="E6" s="20" t="s">
        <v>401</v>
      </c>
      <c r="F6" s="17" t="s">
        <v>381</v>
      </c>
      <c r="G6" s="17" t="s">
        <v>407</v>
      </c>
      <c r="H6" s="17" t="s">
        <v>408</v>
      </c>
      <c r="I6" s="17" t="s">
        <v>409</v>
      </c>
      <c r="J6" s="20" t="s">
        <v>325</v>
      </c>
      <c r="K6" s="22" t="inlineStr">
        <is>
          <t xml:space="preserve">Related HTTP/database assertions passed on isolated SQLite fixtures. Full workbook UI steps and all stated data variants are not certified by this result.</t>
        </is>
      </c>
      <c r="L6" t="inlineStr">
        <is>
          <t xml:space="preserve">PARTIAL</t>
        </is>
      </c>
      <c r="M6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Tests.Feature.TeacherRiderInvitationTest::test_tc_rid_004_005_name_format_and_length</t>
        </is>
      </c>
    </row>
    <row r="7" customFormat="false" ht="68.65" hidden="false" customHeight="false" outlineLevel="0" collapsed="false">
      <c r="A7" s="21" t="s">
        <v>410</v>
      </c>
      <c r="B7" s="17" t="s">
        <v>82</v>
      </c>
      <c r="C7" s="17" t="s">
        <v>411</v>
      </c>
      <c r="D7" s="17" t="s">
        <v>45</v>
      </c>
      <c r="E7" s="20" t="s">
        <v>380</v>
      </c>
      <c r="F7" s="17" t="s">
        <v>381</v>
      </c>
      <c r="G7" s="17" t="s">
        <v>412</v>
      </c>
      <c r="H7" s="17" t="str">
        <f aca="true">"Born "&amp;TEXT(EDATE(TODAY(),-216)+1,"mm/dd/yyyy")&amp;" (17 years old, reject)"&amp;CHAR(10)&amp;"Born "&amp;TEXT(EDATE(TODAY(),-216),"mm/dd/yyyy")&amp;" (turns 18 today, accept)"&amp;CHAR(10)&amp;"Born "&amp;TEXT(EDATE(TODAY(),-216)-1,"mm/dd/yyyy")&amp;" (18 years and 1 day, accept)"</f>
        <v>Born 10/17/2008 (17 years old, reject)
Born 10/16/2008 (turns 18 today, accept)
Born 10/15/2008 (18 years and 1 day, accept)</v>
      </c>
      <c r="I7" s="17" t="s">
        <v>413</v>
      </c>
      <c r="J7" s="20" t="s">
        <v>337</v>
      </c>
      <c r="K7" s="22" t="inlineStr">
        <is>
          <t xml:space="preserve">Related HTTP/database assertions passed on isolated SQLite fixtures. Full workbook UI steps and all stated data variants are not certified by this result.</t>
        </is>
      </c>
      <c r="L7" t="inlineStr">
        <is>
          <t xml:space="preserve">PARTIAL</t>
        </is>
      </c>
      <c r="M7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Tests.Feature.TeacherRiderInvitationTest::test_tc_rid_006_age_boundary</t>
        </is>
      </c>
    </row>
    <row r="8" customFormat="false" ht="57.45" hidden="false" customHeight="false" outlineLevel="0" collapsed="false">
      <c r="A8" s="21" t="s">
        <v>414</v>
      </c>
      <c r="B8" s="17" t="s">
        <v>74</v>
      </c>
      <c r="C8" s="17" t="s">
        <v>415</v>
      </c>
      <c r="D8" s="17" t="s">
        <v>43</v>
      </c>
      <c r="E8" s="20" t="s">
        <v>380</v>
      </c>
      <c r="F8" s="17" t="s">
        <v>389</v>
      </c>
      <c r="G8" s="17" t="s">
        <v>416</v>
      </c>
      <c r="H8" s="17" t="s">
        <v>417</v>
      </c>
      <c r="I8" s="17" t="s">
        <v>418</v>
      </c>
      <c r="J8" s="20" t="s">
        <v>328</v>
      </c>
      <c r="K8" s="22" t="inlineStr">
        <is>
          <t xml:space="preserve">Related HTTP/database assertions passed on isolated SQLite fixtures. Full workbook UI steps and all stated data variants are not certified by this result.</t>
        </is>
      </c>
      <c r="L8" t="inlineStr">
        <is>
          <t xml:space="preserve">PARTIAL</t>
        </is>
      </c>
      <c r="M8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Tests.Feature.TeacherRiderInvitationTest::test_tc_rid_007_008_email_format_and_cross_role_uniqueness</t>
        </is>
      </c>
    </row>
    <row r="9" customFormat="false" ht="68.65" hidden="false" customHeight="false" outlineLevel="0" collapsed="false">
      <c r="A9" s="21" t="s">
        <v>419</v>
      </c>
      <c r="B9" s="17" t="s">
        <v>74</v>
      </c>
      <c r="C9" s="17" t="s">
        <v>420</v>
      </c>
      <c r="D9" s="17" t="s">
        <v>43</v>
      </c>
      <c r="E9" s="20" t="s">
        <v>380</v>
      </c>
      <c r="F9" s="17" t="s">
        <v>421</v>
      </c>
      <c r="G9" s="17" t="s">
        <v>422</v>
      </c>
      <c r="H9" s="17" t="s">
        <v>423</v>
      </c>
      <c r="I9" s="17" t="s">
        <v>424</v>
      </c>
      <c r="J9" s="20" t="s">
        <v>328</v>
      </c>
      <c r="K9" s="22" t="inlineStr">
        <is>
          <t xml:space="preserve">Related HTTP/database assertions passed on isolated SQLite fixtures. Full workbook UI steps and all stated data variants are not certified by this result.</t>
        </is>
      </c>
      <c r="L9" t="inlineStr">
        <is>
          <t xml:space="preserve">PARTIAL</t>
        </is>
      </c>
      <c r="M9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Tests.Feature.TeacherRiderInvitationTest::test_tc_rid_007_008_email_format_and_cross_role_uniqueness</t>
        </is>
      </c>
    </row>
    <row r="10" customFormat="false" ht="46.25" hidden="false" customHeight="false" outlineLevel="0" collapsed="false">
      <c r="A10" s="21" t="s">
        <v>425</v>
      </c>
      <c r="B10" s="17" t="s">
        <v>78</v>
      </c>
      <c r="C10" s="17" t="s">
        <v>426</v>
      </c>
      <c r="D10" s="17" t="s">
        <v>43</v>
      </c>
      <c r="E10" s="20" t="s">
        <v>380</v>
      </c>
      <c r="F10" s="17" t="s">
        <v>389</v>
      </c>
      <c r="G10" s="17" t="s">
        <v>427</v>
      </c>
      <c r="H10" s="17" t="s">
        <v>428</v>
      </c>
      <c r="I10" s="17" t="s">
        <v>429</v>
      </c>
      <c r="J10" s="20" t="s">
        <v>331</v>
      </c>
      <c r="K10" s="22" t="inlineStr">
        <is>
          <t xml:space="preserve">Related HTTP/database assertions passed on isolated SQLite fixtures. Full workbook UI steps and all stated data variants are not certified by this result.</t>
        </is>
      </c>
      <c r="L10" t="inlineStr">
        <is>
          <t xml:space="preserve">PARTIAL</t>
        </is>
      </c>
      <c r="M10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Tests.Feature.TeacherRiderInvitationTest::test_tc_rid_009_010_011_mobile_formats_and_duplicate_normalization</t>
        </is>
      </c>
    </row>
    <row r="11" customFormat="false" ht="68.65" hidden="false" customHeight="false" outlineLevel="0" collapsed="false">
      <c r="A11" s="21" t="s">
        <v>430</v>
      </c>
      <c r="B11" s="17" t="s">
        <v>78</v>
      </c>
      <c r="C11" s="17" t="s">
        <v>431</v>
      </c>
      <c r="D11" s="17" t="s">
        <v>45</v>
      </c>
      <c r="E11" s="20" t="s">
        <v>380</v>
      </c>
      <c r="F11" s="17" t="s">
        <v>381</v>
      </c>
      <c r="G11" s="17" t="s">
        <v>427</v>
      </c>
      <c r="H11" s="17" t="s">
        <v>432</v>
      </c>
      <c r="I11" s="17" t="s">
        <v>433</v>
      </c>
      <c r="J11" s="20" t="s">
        <v>331</v>
      </c>
      <c r="K11" s="22" t="inlineStr">
        <is>
          <t xml:space="preserve">Related HTTP/database assertions passed on isolated SQLite fixtures. Full workbook UI steps and all stated data variants are not certified by this result.</t>
        </is>
      </c>
      <c r="L11" t="inlineStr">
        <is>
          <t xml:space="preserve">PARTIAL</t>
        </is>
      </c>
      <c r="M11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Tests.Feature.TeacherRiderInvitationTest::test_tc_rid_009_010_011_mobile_formats_and_duplicate_normalization</t>
        </is>
      </c>
    </row>
    <row r="12" customFormat="false" ht="57.45" hidden="false" customHeight="false" outlineLevel="0" collapsed="false">
      <c r="A12" s="21" t="s">
        <v>434</v>
      </c>
      <c r="B12" s="17" t="s">
        <v>78</v>
      </c>
      <c r="C12" s="17" t="s">
        <v>435</v>
      </c>
      <c r="D12" s="17" t="s">
        <v>43</v>
      </c>
      <c r="E12" s="20" t="s">
        <v>401</v>
      </c>
      <c r="F12" s="17" t="s">
        <v>436</v>
      </c>
      <c r="G12" s="17" t="s">
        <v>437</v>
      </c>
      <c r="H12" s="17" t="s">
        <v>438</v>
      </c>
      <c r="I12" s="17" t="s">
        <v>439</v>
      </c>
      <c r="J12" s="20" t="s">
        <v>331</v>
      </c>
      <c r="K12" s="22" t="inlineStr">
        <is>
          <t xml:space="preserve">Related HTTP/database assertions passed on isolated SQLite fixtures. Full workbook UI steps and all stated data variants are not certified by this result.</t>
        </is>
      </c>
      <c r="L12" t="inlineStr">
        <is>
          <t xml:space="preserve">PARTIAL</t>
        </is>
      </c>
      <c r="M12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Tests.Feature.TeacherRiderInvitationTest::test_tc_rid_009_010_011_mobile_formats_and_duplicate_normalization</t>
        </is>
      </c>
    </row>
    <row r="13" customFormat="false" ht="46.25" hidden="false" customHeight="false" outlineLevel="0" collapsed="false">
      <c r="A13" s="21" t="s">
        <v>440</v>
      </c>
      <c r="B13" s="17" t="s">
        <v>441</v>
      </c>
      <c r="C13" s="17" t="s">
        <v>442</v>
      </c>
      <c r="D13" s="17" t="s">
        <v>43</v>
      </c>
      <c r="E13" s="20" t="s">
        <v>380</v>
      </c>
      <c r="F13" s="17" t="s">
        <v>389</v>
      </c>
      <c r="G13" s="17" t="s">
        <v>443</v>
      </c>
      <c r="H13" s="17" t="s">
        <v>444</v>
      </c>
      <c r="I13" s="17" t="s">
        <v>445</v>
      </c>
      <c r="J13" s="20" t="s">
        <v>364</v>
      </c>
      <c r="K13" s="22" t="inlineStr">
        <is>
          <t xml:space="preserve">Related HTTP/database assertions passed on isolated SQLite fixtures. Full workbook UI steps and all stated data variants are not certified by this result.</t>
        </is>
      </c>
      <c r="L13" t="inlineStr">
        <is>
          <t xml:space="preserve">PARTIAL</t>
        </is>
      </c>
      <c r="M13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Tests.Feature.TeacherRiderInvitationTest::test_tc_rid_012_013_014_015_license_format_expiry_and_unique_identifiers</t>
        </is>
      </c>
    </row>
    <row r="14" customFormat="false" ht="68.65" hidden="false" customHeight="false" outlineLevel="0" collapsed="false">
      <c r="A14" s="21" t="s">
        <v>446</v>
      </c>
      <c r="B14" s="17" t="s">
        <v>441</v>
      </c>
      <c r="C14" s="17" t="s">
        <v>447</v>
      </c>
      <c r="D14" s="17" t="s">
        <v>43</v>
      </c>
      <c r="E14" s="20" t="s">
        <v>380</v>
      </c>
      <c r="F14" s="17" t="s">
        <v>448</v>
      </c>
      <c r="G14" s="17" t="s">
        <v>449</v>
      </c>
      <c r="H14" s="17" t="s">
        <v>450</v>
      </c>
      <c r="I14" s="17" t="s">
        <v>451</v>
      </c>
      <c r="J14" s="20" t="s">
        <v>361</v>
      </c>
      <c r="K14" s="22" t="inlineStr">
        <is>
          <t xml:space="preserve">Related HTTP/database assertions passed on isolated SQLite fixtures. Full workbook UI steps and all stated data variants are not certified by this result.</t>
        </is>
      </c>
      <c r="L14" t="inlineStr">
        <is>
          <t xml:space="preserve">PARTIAL</t>
        </is>
      </c>
      <c r="M14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Tests.Feature.TeacherRiderInvitationTest::test_tc_rid_012_013_014_015_license_format_expiry_and_unique_identifiers</t>
        </is>
      </c>
    </row>
    <row r="15" customFormat="false" ht="68.65" hidden="false" customHeight="false" outlineLevel="0" collapsed="false">
      <c r="A15" s="21" t="s">
        <v>452</v>
      </c>
      <c r="B15" s="17" t="s">
        <v>441</v>
      </c>
      <c r="C15" s="17" t="s">
        <v>453</v>
      </c>
      <c r="D15" s="17" t="s">
        <v>45</v>
      </c>
      <c r="E15" s="20" t="s">
        <v>380</v>
      </c>
      <c r="F15" s="17" t="s">
        <v>381</v>
      </c>
      <c r="G15" s="17" t="s">
        <v>454</v>
      </c>
      <c r="H15" s="17" t="str">
        <f aca="true">"Expiry "&amp;TEXT(TODAY()-1,"mm/dd/yyyy")&amp;" (yesterday, reject)"&amp;CHAR(10)&amp;"Expiry "&amp;TEXT(TODAY(),"mm/dd/yyyy")&amp;" (today, accept)"&amp;CHAR(10)&amp;"Expiry "&amp;TEXT(TODAY()+1,"mm/dd/yyyy")&amp;" (tomorrow, accept)"</f>
        <v>Expiry 10/15/2026 (yesterday, reject)
Expiry 10/16/2026 (today, accept)
Expiry 10/17/2026 (tomorrow, accept)</v>
      </c>
      <c r="I15" s="17" t="s">
        <v>455</v>
      </c>
      <c r="J15" s="20" t="s">
        <v>364</v>
      </c>
      <c r="K15" s="22" t="inlineStr">
        <is>
          <t xml:space="preserve">Related HTTP/database assertions passed on isolated SQLite fixtures. Full workbook UI steps and all stated data variants are not certified by this result.</t>
        </is>
      </c>
      <c r="L15" t="inlineStr">
        <is>
          <t xml:space="preserve">PARTIAL</t>
        </is>
      </c>
      <c r="M15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Tests.Feature.TeacherRiderInvitationTest::test_tc_rid_012_013_014_015_license_format_expiry_and_unique_identifiers</t>
        </is>
      </c>
    </row>
    <row r="16" customFormat="false" ht="68.65" hidden="false" customHeight="false" outlineLevel="0" collapsed="false">
      <c r="A16" s="21" t="s">
        <v>456</v>
      </c>
      <c r="B16" s="17" t="s">
        <v>441</v>
      </c>
      <c r="C16" s="17" t="s">
        <v>457</v>
      </c>
      <c r="D16" s="17" t="s">
        <v>43</v>
      </c>
      <c r="E16" s="20" t="s">
        <v>401</v>
      </c>
      <c r="F16" s="17" t="s">
        <v>448</v>
      </c>
      <c r="G16" s="17" t="s">
        <v>458</v>
      </c>
      <c r="H16" s="17" t="s">
        <v>459</v>
      </c>
      <c r="I16" s="17" t="s">
        <v>460</v>
      </c>
      <c r="J16" s="20" t="s">
        <v>361</v>
      </c>
      <c r="K16" s="22" t="inlineStr">
        <is>
          <t xml:space="preserve">Related HTTP/database assertions passed on isolated SQLite fixtures. Full workbook UI steps and all stated data variants are not certified by this result.</t>
        </is>
      </c>
      <c r="L16" t="inlineStr">
        <is>
          <t xml:space="preserve">PARTIAL</t>
        </is>
      </c>
      <c r="M16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Tests.Feature.TeacherRiderInvitationTest::test_tc_rid_012_013_014_015_license_format_expiry_and_unique_identifiers</t>
        </is>
      </c>
    </row>
    <row r="17" customFormat="false" ht="68.65" hidden="false" customHeight="false" outlineLevel="0" collapsed="false">
      <c r="A17" s="21" t="s">
        <v>461</v>
      </c>
      <c r="B17" s="17" t="s">
        <v>462</v>
      </c>
      <c r="C17" s="17" t="s">
        <v>463</v>
      </c>
      <c r="D17" s="17" t="s">
        <v>43</v>
      </c>
      <c r="E17" s="20" t="s">
        <v>380</v>
      </c>
      <c r="F17" s="17" t="s">
        <v>381</v>
      </c>
      <c r="G17" s="17" t="s">
        <v>464</v>
      </c>
      <c r="H17" s="17" t="s">
        <v>465</v>
      </c>
      <c r="I17" s="17" t="s">
        <v>466</v>
      </c>
      <c r="J17" s="20" t="s">
        <v>349</v>
      </c>
      <c r="K17" s="22" t="inlineStr">
        <is>
          <t xml:space="preserve">No complete execution of this workbook scenario has been recorded.</t>
        </is>
      </c>
      <c r="L17" t="inlineStr">
        <is>
          <t xml:space="preserve">UNVERIFIED</t>
        </is>
      </c>
      <c r="M17" s="22" t="inlineStr">
        <is>
          <t xml:space="preserve">NOT CERTIFIED. UNVERIFIED: No complete execution of this workbook scenario has been recorded.
Evidence: No completed execution evidence.</t>
        </is>
      </c>
    </row>
    <row r="18" customFormat="false" ht="46.25" hidden="false" customHeight="false" outlineLevel="0" collapsed="false">
      <c r="A18" s="21" t="s">
        <v>467</v>
      </c>
      <c r="B18" s="17" t="s">
        <v>462</v>
      </c>
      <c r="C18" s="17" t="s">
        <v>468</v>
      </c>
      <c r="D18" s="17" t="s">
        <v>43</v>
      </c>
      <c r="E18" s="20" t="s">
        <v>380</v>
      </c>
      <c r="F18" s="17" t="s">
        <v>389</v>
      </c>
      <c r="G18" s="17" t="s">
        <v>469</v>
      </c>
      <c r="H18" s="17" t="s">
        <v>470</v>
      </c>
      <c r="I18" s="17" t="s">
        <v>471</v>
      </c>
      <c r="J18" s="20" t="s">
        <v>349</v>
      </c>
      <c r="K18" s="22" t="inlineStr">
        <is>
          <t xml:space="preserve">Related HTTP/database assertions passed on isolated SQLite fixtures. Full workbook UI steps and all stated data variants are not certified by this result.</t>
        </is>
      </c>
      <c r="L18" t="inlineStr">
        <is>
          <t xml:space="preserve">PARTIAL</t>
        </is>
      </c>
      <c r="M18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Tests.Feature.TeacherRiderInvitationTest::test_tc_rid_017_018_upload_content_and_size_boundaries</t>
        </is>
      </c>
    </row>
    <row r="19" customFormat="false" ht="68.65" hidden="false" customHeight="false" outlineLevel="0" collapsed="false">
      <c r="A19" s="21" t="s">
        <v>472</v>
      </c>
      <c r="B19" s="17" t="s">
        <v>462</v>
      </c>
      <c r="C19" s="17" t="s">
        <v>473</v>
      </c>
      <c r="D19" s="17" t="s">
        <v>45</v>
      </c>
      <c r="E19" s="20" t="s">
        <v>380</v>
      </c>
      <c r="F19" s="17" t="s">
        <v>381</v>
      </c>
      <c r="G19" s="17" t="s">
        <v>474</v>
      </c>
      <c r="H19" s="17" t="s">
        <v>475</v>
      </c>
      <c r="I19" s="17" t="s">
        <v>476</v>
      </c>
      <c r="J19" s="20" t="s">
        <v>349</v>
      </c>
      <c r="K19" s="22" t="inlineStr">
        <is>
          <t xml:space="preserve">Related HTTP/database assertions passed on isolated SQLite fixtures. Full workbook UI steps and all stated data variants are not certified by this result.</t>
        </is>
      </c>
      <c r="L19" t="inlineStr">
        <is>
          <t xml:space="preserve">PARTIAL</t>
        </is>
      </c>
      <c r="M19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Tests.Feature.TeacherRiderInvitationTest::test_tc_rid_017_018_upload_content_and_size_boundaries</t>
        </is>
      </c>
    </row>
    <row r="20" customFormat="false" ht="68.65" hidden="false" customHeight="false" outlineLevel="0" collapsed="false">
      <c r="A20" s="21" t="s">
        <v>477</v>
      </c>
      <c r="B20" s="17" t="s">
        <v>378</v>
      </c>
      <c r="C20" s="17" t="s">
        <v>478</v>
      </c>
      <c r="D20" s="17" t="s">
        <v>53</v>
      </c>
      <c r="E20" s="20" t="s">
        <v>401</v>
      </c>
      <c r="F20" s="17" t="s">
        <v>381</v>
      </c>
      <c r="G20" s="17" t="s">
        <v>479</v>
      </c>
      <c r="H20" s="17" t="s">
        <v>480</v>
      </c>
      <c r="I20" s="17" t="s">
        <v>481</v>
      </c>
      <c r="J20" s="20" t="s">
        <v>328</v>
      </c>
      <c r="K20" s="22" t="inlineStr">
        <is>
          <t xml:space="preserve">Related HTTP/database assertions passed on isolated SQLite fixtures. Full workbook UI steps and all stated data variants are not certified by this result.</t>
        </is>
      </c>
      <c r="L20" t="inlineStr">
        <is>
          <t xml:space="preserve">PARTIAL</t>
        </is>
      </c>
      <c r="M20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Tests.Feature.TeacherRiderInvitationTest::test_tc_rid_019_multiple_save_requests_create_only_one_rider_and_invitation</t>
        </is>
      </c>
    </row>
    <row r="21" customFormat="false" ht="57.45" hidden="false" customHeight="false" outlineLevel="0" collapsed="false">
      <c r="A21" s="21" t="s">
        <v>482</v>
      </c>
      <c r="B21" s="17" t="s">
        <v>483</v>
      </c>
      <c r="C21" s="17" t="s">
        <v>484</v>
      </c>
      <c r="D21" s="17" t="s">
        <v>49</v>
      </c>
      <c r="E21" s="20" t="s">
        <v>380</v>
      </c>
      <c r="F21" s="17" t="s">
        <v>485</v>
      </c>
      <c r="G21" s="17" t="s">
        <v>486</v>
      </c>
      <c r="H21" s="17" t="s">
        <v>487</v>
      </c>
      <c r="I21" s="17" t="s">
        <v>488</v>
      </c>
      <c r="J21" s="20" t="s">
        <v>489</v>
      </c>
      <c r="K21" s="22" t="inlineStr">
        <is>
          <t xml:space="preserve">Created rider from logistics form, read local logged invitation, activated, signed in, verified single-use link and denied public registration. External email delivery unverified.</t>
        </is>
      </c>
      <c r="L21" t="inlineStr">
        <is>
          <t xml:space="preserve">PARTIAL</t>
        </is>
      </c>
      <c r="M21" s="22" t="inlineStr">
        <is>
          <t xml:space="preserve">NOT CERTIFIED. PARTIAL: Created rider from logistics form, read local logged invitation, activated, signed in, verified single-use link and denied public registration. External email delivery unverified.
Evidence: regression-final.xml: Tests.Feature.TeacherRiderInvitationTest::test_tc_rid_020_025_026_027_activation_login_and_single_use; rider-invitation-browser.json</t>
        </is>
      </c>
    </row>
    <row r="22" customFormat="false" ht="57.45" hidden="false" customHeight="false" outlineLevel="0" collapsed="false">
      <c r="A22" s="21" t="s">
        <v>490</v>
      </c>
      <c r="B22" s="17" t="s">
        <v>483</v>
      </c>
      <c r="C22" s="17" t="s">
        <v>491</v>
      </c>
      <c r="D22" s="17" t="s">
        <v>47</v>
      </c>
      <c r="E22" s="20" t="s">
        <v>380</v>
      </c>
      <c r="F22" s="17" t="s">
        <v>485</v>
      </c>
      <c r="G22" s="17" t="s">
        <v>492</v>
      </c>
      <c r="H22" s="17" t="s">
        <v>493</v>
      </c>
      <c r="I22" s="17" t="s">
        <v>494</v>
      </c>
      <c r="J22" s="20" t="s">
        <v>334</v>
      </c>
      <c r="K22" s="22" t="inlineStr">
        <is>
          <t xml:space="preserve">Related HTTP/database assertions passed on isolated SQLite fixtures. Full workbook UI steps and all stated data variants are not certified by this result.</t>
        </is>
      </c>
      <c r="L22" t="inlineStr">
        <is>
          <t xml:space="preserve">PARTIAL</t>
        </is>
      </c>
      <c r="M22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Tests.Feature.TeacherRiderInvitationTest::test_tc_rid_021_022_password_rules_and_confirmation</t>
        </is>
      </c>
    </row>
    <row r="23" customFormat="false" ht="57.45" hidden="false" customHeight="false" outlineLevel="0" collapsed="false">
      <c r="A23" s="21" t="s">
        <v>495</v>
      </c>
      <c r="B23" s="17" t="s">
        <v>483</v>
      </c>
      <c r="C23" s="17" t="s">
        <v>496</v>
      </c>
      <c r="D23" s="17" t="s">
        <v>43</v>
      </c>
      <c r="E23" s="20" t="s">
        <v>401</v>
      </c>
      <c r="F23" s="17" t="s">
        <v>485</v>
      </c>
      <c r="G23" s="17" t="s">
        <v>497</v>
      </c>
      <c r="H23" s="17" t="s">
        <v>498</v>
      </c>
      <c r="I23" s="17" t="s">
        <v>499</v>
      </c>
      <c r="J23" s="20" t="s">
        <v>334</v>
      </c>
      <c r="K23" s="22" t="inlineStr">
        <is>
          <t xml:space="preserve">Related HTTP/database assertions passed on isolated SQLite fixtures. Full workbook UI steps and all stated data variants are not certified by this result.</t>
        </is>
      </c>
      <c r="L23" t="inlineStr">
        <is>
          <t xml:space="preserve">PARTIAL</t>
        </is>
      </c>
      <c r="M23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Tests.Feature.TeacherRiderInvitationTest::test_tc_rid_021_022_password_rules_and_confirmation</t>
        </is>
      </c>
    </row>
    <row r="24" customFormat="false" ht="57.45" hidden="false" customHeight="false" outlineLevel="0" collapsed="false">
      <c r="A24" s="21" t="s">
        <v>500</v>
      </c>
      <c r="B24" s="17" t="s">
        <v>483</v>
      </c>
      <c r="C24" s="17" t="s">
        <v>501</v>
      </c>
      <c r="D24" s="17" t="s">
        <v>45</v>
      </c>
      <c r="E24" s="20" t="s">
        <v>380</v>
      </c>
      <c r="F24" s="17" t="s">
        <v>485</v>
      </c>
      <c r="G24" s="17" t="s">
        <v>502</v>
      </c>
      <c r="H24" s="17" t="s">
        <v>503</v>
      </c>
      <c r="I24" s="17" t="s">
        <v>504</v>
      </c>
      <c r="J24" s="20" t="s">
        <v>358</v>
      </c>
      <c r="K24" s="22" t="inlineStr">
        <is>
          <t xml:space="preserve">Related HTTP/database assertions passed on isolated SQLite fixtures. Full workbook UI steps and all stated data variants are not certified by this result.</t>
        </is>
      </c>
      <c r="L24" t="inlineStr">
        <is>
          <t xml:space="preserve">PARTIAL</t>
        </is>
      </c>
      <c r="M24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Tests.Feature.TeacherRiderInvitationTest::test_tc_rid_023_024_expiry_and_resend_invalidates_old_invitation</t>
        </is>
      </c>
    </row>
    <row r="25" customFormat="false" ht="68.65" hidden="false" customHeight="false" outlineLevel="0" collapsed="false">
      <c r="A25" s="21" t="s">
        <v>505</v>
      </c>
      <c r="B25" s="17" t="s">
        <v>483</v>
      </c>
      <c r="C25" s="17" t="s">
        <v>506</v>
      </c>
      <c r="D25" s="17" t="s">
        <v>49</v>
      </c>
      <c r="E25" s="20" t="s">
        <v>401</v>
      </c>
      <c r="F25" s="17" t="s">
        <v>507</v>
      </c>
      <c r="G25" s="17" t="s">
        <v>508</v>
      </c>
      <c r="H25" s="17" t="s">
        <v>509</v>
      </c>
      <c r="I25" s="17" t="s">
        <v>510</v>
      </c>
      <c r="J25" s="20" t="s">
        <v>358</v>
      </c>
      <c r="K25" s="22" t="inlineStr">
        <is>
          <t xml:space="preserve">Related HTTP/database assertions passed on isolated SQLite fixtures. Full workbook UI steps and all stated data variants are not certified by this result.</t>
        </is>
      </c>
      <c r="L25" t="inlineStr">
        <is>
          <t xml:space="preserve">PARTIAL</t>
        </is>
      </c>
      <c r="M25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Tests.Feature.TeacherRiderInvitationTest::test_tc_rid_023_024_expiry_and_resend_invalidates_old_invitation</t>
        </is>
      </c>
    </row>
    <row r="26" customFormat="false" ht="35.05" hidden="false" customHeight="false" outlineLevel="0" collapsed="false">
      <c r="A26" s="21" t="s">
        <v>511</v>
      </c>
      <c r="B26" s="17" t="s">
        <v>483</v>
      </c>
      <c r="C26" s="17" t="s">
        <v>512</v>
      </c>
      <c r="D26" s="17" t="s">
        <v>49</v>
      </c>
      <c r="E26" s="20" t="s">
        <v>401</v>
      </c>
      <c r="F26" s="17" t="s">
        <v>513</v>
      </c>
      <c r="G26" s="17" t="s">
        <v>514</v>
      </c>
      <c r="H26" s="17" t="s">
        <v>515</v>
      </c>
      <c r="I26" s="17" t="s">
        <v>516</v>
      </c>
      <c r="J26" s="20" t="s">
        <v>358</v>
      </c>
      <c r="K26" s="22" t="inlineStr">
        <is>
          <t xml:space="preserve">Created rider from logistics form, read local logged invitation, activated, signed in, verified single-use link and denied public registration. External email delivery unverified.</t>
        </is>
      </c>
      <c r="L26" t="inlineStr">
        <is>
          <t xml:space="preserve">PARTIAL</t>
        </is>
      </c>
      <c r="M26" s="22" t="inlineStr">
        <is>
          <t xml:space="preserve">NOT CERTIFIED. PARTIAL: Created rider from logistics form, read local logged invitation, activated, signed in, verified single-use link and denied public registration. External email delivery unverified.
Evidence: regression-final.xml: Tests.Feature.TeacherRiderInvitationTest::test_tc_rid_020_025_026_027_activation_login_and_single_use; rider-invitation-browser.json</t>
        </is>
      </c>
    </row>
    <row r="27" customFormat="false" ht="35.05" hidden="false" customHeight="false" outlineLevel="0" collapsed="false">
      <c r="A27" s="21" t="s">
        <v>517</v>
      </c>
      <c r="B27" s="17" t="s">
        <v>483</v>
      </c>
      <c r="C27" s="17" t="s">
        <v>518</v>
      </c>
      <c r="D27" s="17" t="s">
        <v>49</v>
      </c>
      <c r="E27" s="20" t="s">
        <v>380</v>
      </c>
      <c r="F27" s="17" t="s">
        <v>519</v>
      </c>
      <c r="G27" s="17" t="s">
        <v>520</v>
      </c>
      <c r="H27" s="17" t="s">
        <v>521</v>
      </c>
      <c r="I27" s="17" t="s">
        <v>522</v>
      </c>
      <c r="J27" s="20" t="s">
        <v>358</v>
      </c>
      <c r="K27" s="22" t="inlineStr">
        <is>
          <t xml:space="preserve">Related HTTP/database assertions passed on isolated SQLite fixtures. Full workbook UI steps and all stated data variants are not certified by this result.</t>
        </is>
      </c>
      <c r="L27" t="inlineStr">
        <is>
          <t xml:space="preserve">PARTIAL</t>
        </is>
      </c>
      <c r="M27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Tests.Feature.TeacherRiderInvitationTest::test_tc_rid_020_025_026_027_activation_login_and_single_use</t>
        </is>
      </c>
    </row>
    <row r="28" customFormat="false" ht="35.05" hidden="false" customHeight="false" outlineLevel="0" collapsed="false">
      <c r="A28" s="21" t="s">
        <v>523</v>
      </c>
      <c r="B28" s="17" t="s">
        <v>524</v>
      </c>
      <c r="C28" s="17" t="s">
        <v>525</v>
      </c>
      <c r="D28" s="17" t="s">
        <v>51</v>
      </c>
      <c r="E28" s="20" t="s">
        <v>380</v>
      </c>
      <c r="F28" s="17" t="s">
        <v>526</v>
      </c>
      <c r="G28" s="17" t="s">
        <v>520</v>
      </c>
      <c r="H28" s="17" t="s">
        <v>521</v>
      </c>
      <c r="I28" s="17" t="s">
        <v>527</v>
      </c>
      <c r="J28" s="20" t="s">
        <v>358</v>
      </c>
      <c r="K28" s="22" t="inlineStr">
        <is>
          <t xml:space="preserve">Created rider from logistics form, read local logged invitation, activated, signed in, verified single-use link and denied public registration. External email delivery unverified.</t>
        </is>
      </c>
      <c r="L28" t="inlineStr">
        <is>
          <t xml:space="preserve">PARTIAL</t>
        </is>
      </c>
      <c r="M28" s="22" t="inlineStr">
        <is>
          <t xml:space="preserve">NOT CERTIFIED. PARTIAL: Created rider from logistics form, read local logged invitation, activated, signed in, verified single-use link and denied public registration. External email delivery unverified.
Evidence: regression-final.xml: Tests.Feature.TeacherRiderInvitationTest::test_tc_rid_020_025_026_027_activation_login_and_single_use; rider-invitation-browser.json</t>
        </is>
      </c>
    </row>
    <row r="29" customFormat="false" ht="46.25" hidden="false" customHeight="false" outlineLevel="0" collapsed="false">
      <c r="A29" s="21" t="s">
        <v>528</v>
      </c>
      <c r="B29" s="17" t="s">
        <v>524</v>
      </c>
      <c r="C29" s="17" t="s">
        <v>529</v>
      </c>
      <c r="D29" s="17" t="s">
        <v>53</v>
      </c>
      <c r="E29" s="20" t="s">
        <v>380</v>
      </c>
      <c r="F29" s="17" t="s">
        <v>530</v>
      </c>
      <c r="G29" s="17" t="s">
        <v>531</v>
      </c>
      <c r="H29" s="17" t="s">
        <v>532</v>
      </c>
      <c r="I29" s="17" t="s">
        <v>533</v>
      </c>
      <c r="J29" s="20" t="s">
        <v>358</v>
      </c>
      <c r="K29" s="22" t="inlineStr">
        <is>
          <t xml:space="preserve">Related HTTP/database assertions passed on isolated SQLite fixtures. Full workbook UI steps and all stated data variants are not certified by this result.</t>
        </is>
      </c>
      <c r="L29" t="inlineStr">
        <is>
          <t xml:space="preserve">PARTIAL</t>
        </is>
      </c>
      <c r="M29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Tests.Feature.TeacherRiderInvitationTest::test_tc_rid_028_other_company_cannot_resend_or_assign_its_hub</t>
        </is>
      </c>
    </row>
    <row r="30" customFormat="false" ht="46.25" hidden="false" customHeight="false" outlineLevel="0" collapsed="false">
      <c r="A30" s="21" t="s">
        <v>534</v>
      </c>
      <c r="B30" s="17" t="s">
        <v>524</v>
      </c>
      <c r="C30" s="17" t="s">
        <v>535</v>
      </c>
      <c r="D30" s="17" t="s">
        <v>53</v>
      </c>
      <c r="E30" s="20" t="s">
        <v>380</v>
      </c>
      <c r="F30" s="17" t="s">
        <v>536</v>
      </c>
      <c r="G30" s="17" t="s">
        <v>537</v>
      </c>
      <c r="H30" s="17" t="s">
        <v>538</v>
      </c>
      <c r="I30" s="17" t="s">
        <v>539</v>
      </c>
      <c r="J30" s="20" t="s">
        <v>358</v>
      </c>
      <c r="K30" s="22" t="inlineStr">
        <is>
          <t xml:space="preserve">Created rider from logistics form, read local logged invitation, activated, signed in, verified single-use link and denied public registration. External email delivery unverified.</t>
        </is>
      </c>
      <c r="L30" t="inlineStr">
        <is>
          <t xml:space="preserve">PARTIAL</t>
        </is>
      </c>
      <c r="M30" s="22" t="inlineStr">
        <is>
          <t xml:space="preserve">NOT CERTIFIED. PARTIAL: Created rider from logistics form, read local logged invitation, activated, signed in, verified single-use link and denied public registration. External email delivery unverified.
Evidence: regression-final.xml: Tests.Feature.TeacherRegistrationTest::test_tc_rid_029_public_rider_registration_is_not_available; rider-invitation-browser.json</t>
        </is>
      </c>
    </row>
    <row r="31" customFormat="false" ht="46.25" hidden="false" customHeight="false" outlineLevel="0" collapsed="false">
      <c r="A31" s="21" t="s">
        <v>540</v>
      </c>
      <c r="B31" s="17" t="s">
        <v>524</v>
      </c>
      <c r="C31" s="17" t="s">
        <v>541</v>
      </c>
      <c r="D31" s="17" t="s">
        <v>53</v>
      </c>
      <c r="E31" s="20" t="s">
        <v>380</v>
      </c>
      <c r="F31" s="17" t="s">
        <v>542</v>
      </c>
      <c r="G31" s="17" t="s">
        <v>543</v>
      </c>
      <c r="H31" s="17" t="s">
        <v>544</v>
      </c>
      <c r="I31" s="17" t="s">
        <v>545</v>
      </c>
      <c r="J31" s="20" t="s">
        <v>367</v>
      </c>
      <c r="K31" s="22" t="inlineStr">
        <is>
          <t xml:space="preserve">Related HTTP/database assertions passed on isolated SQLite fixtures. Full workbook UI steps and all stated data variants are not certified by this result.</t>
        </is>
      </c>
      <c r="L31" t="inlineStr">
        <is>
          <t xml:space="preserve">PARTIAL</t>
        </is>
      </c>
      <c r="M31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Tests.Feature.TeacherRiderInvitationTest::test_tc_rid_030_031_creation_is_restricted_to_approved_logistics_admins</t>
        </is>
      </c>
    </row>
    <row r="32" customFormat="false" ht="46.25" hidden="false" customHeight="false" outlineLevel="0" collapsed="false">
      <c r="A32" s="21" t="s">
        <v>546</v>
      </c>
      <c r="B32" s="17" t="s">
        <v>524</v>
      </c>
      <c r="C32" s="17" t="s">
        <v>547</v>
      </c>
      <c r="D32" s="17" t="s">
        <v>49</v>
      </c>
      <c r="E32" s="20" t="s">
        <v>380</v>
      </c>
      <c r="F32" s="17" t="s">
        <v>548</v>
      </c>
      <c r="G32" s="17" t="s">
        <v>549</v>
      </c>
      <c r="H32" s="17" t="s">
        <v>544</v>
      </c>
      <c r="I32" s="17" t="s">
        <v>550</v>
      </c>
      <c r="J32" s="20" t="s">
        <v>551</v>
      </c>
      <c r="K32" s="22" t="inlineStr">
        <is>
          <t xml:space="preserve">Related HTTP/database assertions passed on isolated SQLite fixtures. Full workbook UI steps and all stated data variants are not certified by this result.</t>
        </is>
      </c>
      <c r="L32" t="inlineStr">
        <is>
          <t xml:space="preserve">PARTIAL</t>
        </is>
      </c>
      <c r="M32" s="22" t="inlineStr">
        <is>
          <t xml:space="preserve">NOT CERTIFIED. PARTIAL: Related HTTP/database assertions passed on isolated SQLite fixtures. Full workbook UI steps and all stated data variants are not certified by this result.
Evidence: regression-final.xml: Tests.Feature.TeacherRiderInvitationTest::test_tc_rid_030_031_creation_is_restricted_to_approved_logistics_admins</t>
        </is>
      </c>
    </row>
    <row r="33" customFormat="false" ht="35.05" hidden="false" customHeight="false" outlineLevel="0" collapsed="false">
      <c r="A33" s="21" t="s">
        <v>552</v>
      </c>
      <c r="B33" s="17" t="s">
        <v>524</v>
      </c>
      <c r="C33" s="17" t="s">
        <v>553</v>
      </c>
      <c r="D33" s="17" t="s">
        <v>53</v>
      </c>
      <c r="E33" s="20" t="s">
        <v>401</v>
      </c>
      <c r="F33" s="17" t="s">
        <v>554</v>
      </c>
      <c r="G33" s="17" t="s">
        <v>555</v>
      </c>
      <c r="H33" s="17" t="s">
        <v>556</v>
      </c>
      <c r="I33" s="17" t="s">
        <v>557</v>
      </c>
      <c r="J33" s="20" t="s">
        <v>367</v>
      </c>
      <c r="K33" s="22" t="inlineStr">
        <is>
          <t xml:space="preserve">No complete execution of this workbook scenario has been recorded.</t>
        </is>
      </c>
      <c r="L33" t="inlineStr">
        <is>
          <t xml:space="preserve">UNVERIFIED</t>
        </is>
      </c>
      <c r="M33" s="22" t="inlineStr">
        <is>
          <t xml:space="preserve">NOT CERTIFIED. UNVERIFIED: No complete execution of this workbook scenario has been recorded.
Evidence: No completed execution evidence.</t>
        </is>
      </c>
    </row>
  </sheetData>
  <autoFilter ref="A1:M33"/>
  <conditionalFormatting sqref="L2:L3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="Choose Pass, Fail, Blocked or Not Run." errorStyle="stop" errorTitle="Invalid status" operator="between" showDropDown="false" showErrorMessage="false" showInputMessage="false" sqref="L2:L33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2026-10-07T02:30:49Z</dcterms:created>
  <dc:creator>openpyxl</dc:creator>
  <dc:description/>
  <dc:language>en-US</dc:language>
  <cp:lastModifiedBy/>
  <dcterms:modified xsi:type="dcterms:W3CDTF">2026-10-16T08:41:56Z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