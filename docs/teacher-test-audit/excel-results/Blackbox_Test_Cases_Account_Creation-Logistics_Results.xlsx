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Logistics" sheetId="5" state="visible" r:id="rId7"/>
  </sheets>
  <definedNames>
    <definedName function="false" hidden="false" localSheetId="4" name="_xlnm.Print_Titles" vbProcedure="false">Logistics!$1:$1</definedName>
    <definedName function="false" hidden="true" localSheetId="4" name="_xlnm._FilterDatabase" vbProcedure="false">Logistics!$A$1:$M$45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<sst xmlns="http://schemas.openxmlformats.org/spreadsheetml/2006/main" count="1186" uniqueCount="620">
  <si>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</si>
  <si>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</si>
  <si>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</si>
  <si>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</si>
  <si>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</si>
  <si>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</si>
  <si>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</si>
  <si>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</si>
  <si>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</si>
  <si>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</si>
  <si>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</si>
  <si>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</si>
  <si>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</si>
  <si>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</si>
  <si>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</si>
  <si>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</si>
  <si>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</si>
  <si>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</si>
  <si>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</si>
  <si>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</si>
  <si>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</si>
  <si>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</si>
  <si>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</si>
  <si>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</si>
  <si>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</si>
  <si>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</si>
  <si>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</si>
  <si>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</si>
  <si>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</si>
  <si>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</si>
  <si>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</si>
  <si>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</si>
  <si>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</si>
  <si>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</si>
  <si>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</si>
  <si>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</si>
  <si>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</si>
  <si>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</si>
  <si>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</si>
  <si>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</si>
  <si>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</si>
  <si>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</si>
  <si>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</si>
  <si>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</si>
  <si>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</si>
  <si>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</si>
  <si>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</si>
  <si>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</si>
  <si>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</si>
  <si>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</si>
  <si>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</si>
  <si>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</si>
  <si>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</si>
  <si>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</si>
  <si>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</si>
  <si>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</si>
  <si>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</si>
  <si>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</si>
  <si>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</si>
  <si>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</si>
  <si>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</si>
  <si>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</si>
  <si>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</si>
  <si>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</si>
  <si>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</si>
  <si>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</si>
  <si>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</si>
  <si>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</si>
  <si>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</si>
  <si>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</si>
  <si>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</si>
  <si>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</si>
  <si>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</si>
  <si>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</si>
  <si>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</si>
  <si>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</si>
  <si>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</si>
  <si>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</si>
  <si>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</si>
  <si>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</si>
  <si>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</si>
  <si>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</si>
  <si>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</si>
  <si>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</si>
  <si>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</si>
  <si>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</si>
  <si>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</si>
  <si>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</si>
  <si>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</si>
  <si>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</si>
  <si>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</si>
  <si>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</si>
  <si>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</si>
  <si>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</si>
  <si>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</si>
  <si>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</si>
  <si>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</si>
  <si>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</si>
  <si>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</si>
  <si>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</si>
  <si>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</si>
  <si>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</si>
  <si>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</si>
  <si>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</si>
  <si>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</si>
  <si>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</si>
  <si>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</si>
  <si>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</si>
  <si>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</si>
  <si>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</si>
  <si>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</si>
  <si>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</si>
  <si>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</si>
  <si>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</si>
  <si>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</si>
  <si>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</si>
  <si>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</si>
  <si>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</si>
  <si>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</si>
  <si>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</si>
  <si>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</si>
  <si>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</si>
  <si>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</si>
  <si>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</si>
  <si>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</si>
  <si>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</si>
  <si>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</si>
  <si>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</si>
  <si>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</si>
  <si>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</si>
  <si>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</si>
  <si>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</si>
  <si>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</si>
  <si>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</si>
  <si>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</si>
  <si>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</si>
  <si>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</si>
  <si>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</si>
  <si>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</si>
  <si>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</si>
  <si>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</si>
  <si>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</si>
  <si>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</si>
  <si>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</si>
  <si>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</si>
  <si>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</si>
  <si>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</si>
  <si>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</si>
  <si>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</si>
  <si>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</si>
  <si>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</si>
  <si>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</si>
  <si>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</si>
  <si>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</si>
  <si>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</si>
  <si>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</si>
  <si>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</si>
  <si>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</si>
  <si>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</si>
  <si>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</si>
  <si>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</si>
  <si>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</si>
  <si>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</si>
  <si>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</si>
  <si>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</si>
  <si>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</si>
  <si>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</si>
  <si>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</si>
  <si>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</si>
  <si>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</si>
  <si>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</si>
  <si>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</si>
  <si>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</si>
  <si>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</si>
  <si>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</si>
  <si>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</si>
  <si>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</si>
  <si>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</si>
  <si>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</si>
  <si>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</si>
  <si>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</si>
  <si>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</si>
  <si>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</si>
  <si>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</si>
  <si>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</si>
  <si>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</si>
  <si>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</si>
  <si>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</si>
  <si>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</si>
  <si>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</si>
  <si>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</si>
  <si>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</si>
  <si>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</si>
  <si>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</si>
  <si>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</si>
  <si>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</si>
  <si>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</si>
  <si>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</si>
  <si>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</si>
  <si>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</si>
  <si>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</si>
  <si>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</si>
  <si>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</si>
  <si>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</si>
  <si>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</si>
  <si>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</si>
  <si>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</si>
  <si>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</si>
  <si>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</si>
  <si>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</si>
  <si>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</si>
  <si>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</si>
  <si>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</si>
  <si>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</si>
  <si>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</si>
  <si>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</si>
  <si>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</si>
  <si>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</si>
  <si>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</si>
  <si>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</si>
  <si>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</si>
  <si>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</si>
  <si>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</si>
  <si>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</si>
  <si>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</si>
  <si>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</si>
  <si>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</si>
  <si>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</si>
  <si>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</si>
  <si>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</si>
  <si>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</si>
  <si>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</si>
  <si>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</si>
  <si>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</si>
  <si>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</si>
  <si>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</si>
  <si>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</si>
  <si>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</si>
  <si>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</si>
  <si>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</si>
  <si>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</si>
  <si>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</si>
  <si>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</si>
  <si>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</si>
  <si>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</si>
  <si>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</si>
  <si>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</si>
  <si>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</si>
  <si>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</si>
  <si>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</si>
  <si>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</si>
  <si>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</si>
  <si>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</si>
  <si>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</si>
  <si>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</si>
  <si>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</si>
  <si>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</si>
  <si>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</si>
  <si>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</si>
  <si>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</si>
  <si>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</si>
  <si>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</si>
  <si>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</si>
  <si>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</si>
  <si>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</si>
  <si>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</si>
  <si>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</si>
  <si>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</si>
  <si>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</si>
  <si>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</si>
  <si>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</si>
  <si>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</si>
  <si>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</si>
  <si>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</si>
  <si>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</si>
  <si>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</si>
  <si>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</si>
  <si>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</si>
  <si>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</si>
  <si>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</si>
  <si>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</si>
  <si>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</si>
  <si>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</si>
  <si>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</si>
  <si>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</si>
  <si>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</si>
  <si>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</si>
  <si>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</si>
  <si>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</si>
  <si>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</si>
  <si>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</si>
  <si>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</si>
  <si>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</si>
  <si>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</si>
  <si>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</si>
  <si>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</si>
  <si>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</si>
  <si>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</si>
  <si>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</si>
  <si>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</si>
  <si>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</si>
  <si>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</si>
  <si>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</si>
  <si>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</si>
  <si>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</si>
  <si>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</si>
  <si>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</si>
  <si>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</si>
  <si>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</si>
  <si>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</si>
  <si>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</si>
  <si>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</si>
  <si>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</si>
  <si>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</si>
  <si>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</si>
  <si>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</si>
  <si>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</si>
  <si>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</si>
  <si>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</si>
  <si>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</si>
  <si>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</si>
  <si>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</si>
  <si>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</si>
  <si>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</si>
  <si>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</si>
  <si>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</si>
  <si>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</si>
  <si>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</si>
  <si>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</si>
  <si>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</si>
  <si>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</si>
  <si>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</si>
  <si>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</si>
  <si>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</si>
  <si>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</si>
  <si>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</si>
  <si>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</si>
  <si>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</si>
  <si>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</si>
  <si>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</si>
  <si>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</si>
  <si>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</si>
  <si>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</si>
  <si>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</si>
  <si>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</si>
  <si>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</si>
  <si>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</si>
  <si>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</si>
  <si>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</si>
  <si>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</si>
  <si>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</si>
  <si>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</si>
  <si>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</si>
  <si>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</si>
  <si>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</si>
  <si>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</si>
  <si>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</si>
  <si>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</si>
  <si>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</si>
  <si>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</si>
  <si>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</si>
  <si>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</si>
  <si>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</si>
  <si>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</si>
  <si>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</si>
  <si>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</si>
  <si>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</si>
  <si>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</si>
  <si>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</si>
  <si>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</si>
  <si>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</si>
  <si>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</si>
  <si>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</si>
  <si>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</si>
  <si>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</si>
  <si>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</si>
  <si>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</si>
  <si>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TC-LOG-001</t>
  </si>
  <si>
    <t xml:space="preserve">Registration Form</t>
  </si>
  <si>
    <t xml:space="preserve">Register with all valid data</t>
  </si>
  <si>
    <t xml:space="preserve">High</t>
  </si>
  <si>
    <t xml:space="preserve">The logistics registration page is open. The email, mobile number and other unique values in the test data are not yet registered.</t>
  </si>
  <si>
    <t xml:space="preserve">1. Fill in every field with the test data.
2. Click Register.</t>
  </si>
  <si>
    <t xml:space="preserve">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</si>
  <si>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</si>
  <si>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</si>
  <si>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TC-LOG-002</t>
  </si>
  <si>
    <t xml:space="preserve">Required Fields</t>
  </si>
  <si>
    <t xml:space="preserve">Submit a completely empty form</t>
  </si>
  <si>
    <t xml:space="preserve">The logistics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</si>
  <si>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</si>
  <si>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</si>
  <si>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</si>
  <si>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TC-LOG-003</t>
  </si>
  <si>
    <t xml:space="preserve">Leave one required field blank at a time</t>
  </si>
  <si>
    <t xml:space="preserve">1. Fill in all fields with valid data.
2. Clear one required field.
3. Click Register.
4. Repeat for each field in the test data.</t>
  </si>
  <si>
    <t xml:space="preserve">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</si>
  <si>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 xml:space="preserve">Each time, registration is blocked and a required-field message is shown on the blank field only. Other entered values (except passwords and uploads) are kept. No account is created.</t>
  </si>
  <si>
    <t xml:space="preserve">TC-LOG-004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</si>
  <si>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</si>
  <si>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</si>
  <si>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</si>
  <si>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</si>
  <si>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Carlos Antonio7
Last Name: Dela Cruz@#</t>
  </si>
  <si>
    <t xml:space="preserve">Registration is blocked. A message on each name field says only letters are allowed.</t>
  </si>
  <si>
    <t xml:space="preserve">TC-LOG-005</t>
  </si>
  <si>
    <t xml:space="preserve">Name with ñ and allowed punctuation</t>
  </si>
  <si>
    <t xml:space="preserve">Low</t>
  </si>
  <si>
    <t xml:space="preserve">First Name: Iñigo Rafael
Last Name: Muñoz-D'Angelo</t>
  </si>
  <si>
    <t xml:space="preserve">The names are accepted and saved exactly as typed, including ñ.</t>
  </si>
  <si>
    <t xml:space="preserve">TC-LOG-006</t>
  </si>
  <si>
    <t xml:space="preserve">Name length at the limits</t>
  </si>
  <si>
    <t xml:space="preserve">1. Fill in all other fields with valid data.
2. Enter each first name in the test data, one per attempt.
3. Click Register.</t>
  </si>
  <si>
    <t xml:space="preserve">1 character: C (reject)
2 characters: Co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</si>
  <si>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</si>
  <si>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TC-LOG-007</t>
  </si>
  <si>
    <t xml:space="preserve">Email in an invalid format</t>
  </si>
  <si>
    <t xml:space="preserve">1. Fill in all other fields with valid data.
2. Enter each email in the test data, one per attempt.
3. Click Register.</t>
  </si>
  <si>
    <t xml:space="preserve">operations.bilishatidexample.com (no @)
operations.bilishatid@ (no domain)
@example.com (no name)
operations.bilishatid@example (no .com)
operations bilishatid@example.com (space)</t>
  </si>
  <si>
    <t xml:space="preserve">Each value is rejected with a message asking for a valid email address. No account is created.</t>
  </si>
  <si>
    <t xml:space="preserve">TC-LOG-008</t>
  </si>
  <si>
    <t xml:space="preserve">The logistics registration page is open. The logistics account operations@bilishatid.example.com (Bilis Hatid Express Inc.) already exists.</t>
  </si>
  <si>
    <t xml:space="preserve">1. Fill in all other fields with valid data.
2. Enter the existing email.
3. Click Register.</t>
  </si>
  <si>
    <t xml:space="preserve">Email: operations@bilishatid.example.com</t>
  </si>
  <si>
    <t xml:space="preserve">TC-LOG-009</t>
  </si>
  <si>
    <t xml:space="preserve">Registered email typed in capital letters</t>
  </si>
  <si>
    <t xml:space="preserve">1. Fill in all other fields with valid data.
2. Enter the same email in capital letters.
3. Click Register.</t>
  </si>
  <si>
    <t xml:space="preserve">Email: OPERATIONS@BILISHATID.EXAMPLE.COM</t>
  </si>
  <si>
    <t xml:space="preserve">The email is treated as a duplicate. Registration is blocked.</t>
  </si>
  <si>
    <t xml:space="preserve">TC-LOG-010</t>
  </si>
  <si>
    <t xml:space="preserve">Email with spaces before and after</t>
  </si>
  <si>
    <t xml:space="preserve">1. Fill in all other fields with valid data.
2. Type two spaces before and after the email.
3. Click Register.</t>
  </si>
  <si>
    <t xml:space="preserve">Email: "  logistics.test01@example.com  "</t>
  </si>
  <si>
    <t xml:space="preserve">The spaces are removed and the email is saved as logistics.test01@example.com.</t>
  </si>
  <si>
    <t xml:space="preserve">TC-LOG-011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</si>
  <si>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</si>
  <si>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</si>
  <si>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</si>
  <si>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</si>
  <si>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TC-LOG-012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</si>
  <si>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</si>
  <si>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</si>
  <si>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</si>
  <si>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TC-LOG-013</t>
  </si>
  <si>
    <t xml:space="preserve">Mobile number that is already registered</t>
  </si>
  <si>
    <t xml:space="preserve">The logistics registration page is open. An account already exists with mobile number 09285551234.</t>
  </si>
  <si>
    <t xml:space="preserve">1. Fill in all other fields with valid data.
2. Enter the existing mobile number.
3. Click Register.</t>
  </si>
  <si>
    <t xml:space="preserve">Mobile: 09285551234</t>
  </si>
  <si>
    <t xml:space="preserve">Registration is blocked. A message says the mobile number is already in use.</t>
  </si>
  <si>
    <t xml:space="preserve">TC-LOG-014</t>
  </si>
  <si>
    <t xml:space="preserve">Registered number entered in +63 format</t>
  </si>
  <si>
    <t xml:space="preserve">1. Fill in all other fields with valid data.
2. Enter the same number in +63 format.
3. Click Register.</t>
  </si>
  <si>
    <t xml:space="preserve">Mobile: +639285551234</t>
  </si>
  <si>
    <t xml:space="preserve">The +63 format is recognised as the same number. Registration is blocked. A message says the mobile number is already in use.</t>
  </si>
  <si>
    <t xml:space="preserve">TC-LOG-015</t>
  </si>
  <si>
    <t xml:space="preserve">Password length at the limit</t>
  </si>
  <si>
    <t xml:space="preserve">1. Fill in all other fields with valid data.
2. Enter each password in both password fields, one per attempt.
3. Click Register.</t>
  </si>
  <si>
    <t xml:space="preserve">7 characters: Hati@26 (reject)
8 characters: Hatid@26 (accept)</t>
  </si>
  <si>
    <t xml:space="preserve">7 characters is rejected with a minimum-length message. 8 characters is accepted.</t>
  </si>
  <si>
    <t xml:space="preserve">TC-LOG-016</t>
  </si>
  <si>
    <t xml:space="preserve">Password missing a required character type</t>
  </si>
  <si>
    <t xml:space="preserve">No uppercase: hatid@2026
No lowercase: HATID@2026
No number: Hatid@abcd
No special character: Hatid2026</t>
  </si>
  <si>
    <t xml:space="preserve">Each password is rejected with a message stating the password rule. No account is created.</t>
  </si>
  <si>
    <t xml:space="preserve">TC-LOG-017</t>
  </si>
  <si>
    <t xml:space="preserve">Confirm Password does not match</t>
  </si>
  <si>
    <t xml:space="preserve">1. Fill in all other fields with valid data.
2. Enter the test data in Password and Confirm Password.
3. Click Register.</t>
  </si>
  <si>
    <t xml:space="preserve">Password: Hatid@2026
Confirm Password: Hatid@2027</t>
  </si>
  <si>
    <t xml:space="preserve">Registration is blocked. A message says the passwords do not match.</t>
  </si>
  <si>
    <t xml:space="preserve">TC-LOG-018</t>
  </si>
  <si>
    <t xml:space="preserve">Password is hidden while typing</t>
  </si>
  <si>
    <t xml:space="preserve">1. Type the password.
2. If a show/hide icon is provided, click it twice.</t>
  </si>
  <si>
    <t xml:space="preserve">Password: Hatid@2026</t>
  </si>
  <si>
    <t xml:space="preserve">Characters are hidden as dots by default. The icon reveals the password, then hides it again.</t>
  </si>
  <si>
    <t xml:space="preserve">TC-LOG-019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</si>
  <si>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</si>
  <si>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</si>
  <si>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</si>
  <si>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</si>
  <si>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TC-LOG-020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</si>
  <si>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</si>
  <si>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</si>
  <si>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</si>
  <si>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</si>
  <si>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TC-LOG-021</t>
  </si>
  <si>
    <t xml:space="preserve">Company Details</t>
  </si>
  <si>
    <t xml:space="preserve">Company name already registered</t>
  </si>
  <si>
    <t xml:space="preserve">1. Fill in all other fields with valid data.
2. Enter the existing company name.
3. Click Register.</t>
  </si>
  <si>
    <t xml:space="preserve">Company Name: Bilis Hatid Express Inc.</t>
  </si>
  <si>
    <t xml:space="preserve">Registration is blocked. A message says the company name is already registered.</t>
  </si>
  <si>
    <t xml:space="preserve">TC-LOG-022</t>
  </si>
  <si>
    <t xml:space="preserve">SEC registration number in an invalid format</t>
  </si>
  <si>
    <t xml:space="preserve">1. Fill in all other fields with valid data.
2. Enter each SEC registration number in the test data, one per attempt.
3. Click Register.</t>
  </si>
  <si>
    <t xml:space="preserve">CS20201234 (8 digits)
202012345CS (letters at the end)
CS2020-12345 (symbol)
12345678901 (no letters)</t>
  </si>
  <si>
    <t xml:space="preserve">Each value is rejected with a message showing the expected format (2 letters followed by 9 digits).</t>
  </si>
  <si>
    <t xml:space="preserve">TC-LOG-023</t>
  </si>
  <si>
    <t xml:space="preserve">SEC registration number already registered</t>
  </si>
  <si>
    <t xml:space="preserve">1. Fill in all other fields with valid data.
2. Enter the existing SEC registration number.
3. Click Register.</t>
  </si>
  <si>
    <t xml:space="preserve">SEC Registration No.: CS202012345</t>
  </si>
  <si>
    <t xml:space="preserve">Registration is blocked. A message says the SEC registration number is already in use.</t>
  </si>
  <si>
    <t xml:space="preserve">TC-LOG-024</t>
  </si>
  <si>
    <t xml:space="preserve">Select more than one service area</t>
  </si>
  <si>
    <t xml:space="preserve">1. Fill in all other fields with valid data.
2. Select the three regions in the test data.
3. Click Register.</t>
  </si>
  <si>
    <t xml:space="preserve">Service Areas: NCR; Region III (Central Luzon); Region IV-A (CALABARZON)</t>
  </si>
  <si>
    <t xml:space="preserve">All three regions are accepted and shown as selected. Registration continues to email verification.</t>
  </si>
  <si>
    <t xml:space="preserve">TC-LOG-025</t>
  </si>
  <si>
    <t xml:space="preserve">Business Details</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</si>
  <si>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</si>
  <si>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</si>
  <si>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</si>
  <si>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</si>
  <si>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TC-LOG-026</t>
  </si>
  <si>
    <t xml:space="preserve">TIN that is already registered</t>
  </si>
  <si>
    <t xml:space="preserve">The logistics registration page is open. Another account already uses TIN 234-567-890-000.</t>
  </si>
  <si>
    <t xml:space="preserve">1. Fill in all other fields with valid data.
2. Enter the existing TIN.
3. Click Register.</t>
  </si>
  <si>
    <t xml:space="preserve">TIN: 234-567-890-000</t>
  </si>
  <si>
    <t xml:space="preserve">Registration is blocked. A message says the TIN is already registered.</t>
  </si>
  <si>
    <t xml:space="preserve">TC-LOG-027</t>
  </si>
  <si>
    <t xml:space="preserve">Company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</si>
  <si>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</si>
  <si>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</si>
  <si>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Pasig City
Barangay: Kapitolyo</t>
  </si>
  <si>
    <t xml:space="preserve">After the change, Province, City and Barangay are cleared. The Province list shows only Region VII provinces such as Cebu and Bohol. Pasig City and Kapitolyo can no longer be selected.</t>
  </si>
  <si>
    <t xml:space="preserve">TC-LOG-028</t>
  </si>
  <si>
    <t xml:space="preserve">Postal code length and format</t>
  </si>
  <si>
    <t xml:space="preserve">1. Fill in all other fields with valid data.
2. Enter each postal code in the test data, one per attempt.
3. Click Register.</t>
  </si>
  <si>
    <t xml:space="preserve">3 digits: 160 (reject)
4 digits: 1603 (accept)
5 digits: 16030 (reject)
Letters: 16A3 (reject)</t>
  </si>
  <si>
    <t xml:space="preserve">Only the 4-digit postal code is accepted. The other values are rejected with a message asking for a 4-digit postal code.</t>
  </si>
  <si>
    <t xml:space="preserve">TC-LOG-029</t>
  </si>
  <si>
    <t xml:space="preserve">Document Upload</t>
  </si>
  <si>
    <t xml:space="preserve">Upload documents in each accepted file type</t>
  </si>
  <si>
    <t xml:space="preserve">1. Fill in all other fields with valid data.
2. Upload the files in the test data.
3. Click Register.</t>
  </si>
  <si>
    <t xml:space="preserve">SEC Certificate: sec_certificate.pdf (1.0 MB)
BIR Form 2303: bir_2303.pdf (1.1 MB)
Mayor's / Business Permit: mayors_permit.pdf (1.3 MB)
Valid ID: govt_id_front.jpg (1.2 MB), then govt_id_front.png (2.4 MB)</t>
  </si>
  <si>
    <t xml:space="preserve">Each file is accepted and its name or preview is shown. Registration continues to email verification.</t>
  </si>
  <si>
    <t xml:space="preserve">TC-LOG-030</t>
  </si>
  <si>
    <t xml:space="preserve">Upload a file type that is not accepted</t>
  </si>
  <si>
    <t xml:space="preserve">1. Fill in all other fields with valid data.
2. Try to upload each file in the test data to Mayor's / Business Permit, one per attempt.
3. Click Register.</t>
  </si>
  <si>
    <t xml:space="preserve">price_list.docx (320 KB)
store_banner.gif (480 KB)
installer.exe (2.1 MB)</t>
  </si>
  <si>
    <t xml:space="preserve">Each file is rejected with a message listing the accepted types (JPG, PNG, PDF). No account is created.</t>
  </si>
  <si>
    <t xml:space="preserve">TC-LOG-031</t>
  </si>
  <si>
    <t xml:space="preserve">File size at the limit</t>
  </si>
  <si>
    <t xml:space="preserve">1. Fill in all other fields with valid data.
2. Upload each file in the test data to Mayor's / Business Permit,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</si>
  <si>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</si>
  <si>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</si>
  <si>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TC-LOG-032</t>
  </si>
  <si>
    <t xml:space="preserve">Email Verification (OTP)</t>
  </si>
  <si>
    <t xml:space="preserve">Verify with the correct OTP</t>
  </si>
  <si>
    <t xml:space="preserve">The logistics account operations@bilishatid.example.com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</si>
  <si>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</si>
  <si>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</si>
  <si>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</si>
  <si>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</si>
  <si>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TC-LOG-033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</si>
  <si>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</si>
  <si>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</si>
  <si>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</si>
  <si>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</si>
  <si>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TC-LOG-034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</si>
  <si>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</si>
  <si>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</si>
  <si>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</si>
  <si>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</si>
  <si>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TC-LOG-035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</si>
  <si>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</si>
  <si>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</si>
  <si>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</si>
  <si>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</si>
  <si>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TC-LOG-036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</si>
  <si>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</si>
  <si>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</si>
  <si>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</si>
  <si>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</si>
  <si>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TC-LOG-037</t>
  </si>
  <si>
    <t xml:space="preserve">Log in before verifying the email</t>
  </si>
  <si>
    <t xml:space="preserve">The logistics account operations@bilishatid.example.com exists with status Unverified.</t>
  </si>
  <si>
    <t xml:space="preserve">1. Open the login page.
2. Log in with the unverified account.</t>
  </si>
  <si>
    <t xml:space="preserve">Email: operations@bilishatid.example.com
Password: Hatid@2026</t>
  </si>
  <si>
    <t xml:space="preserve">The user is not given access. The verification page or a message asking to verify the email is shown.</t>
  </si>
  <si>
    <t xml:space="preserve">TC-LOG-038</t>
  </si>
  <si>
    <t xml:space="preserve">Admin Approval</t>
  </si>
  <si>
    <t xml:space="preserve">Pending logistics logs in</t>
  </si>
  <si>
    <t xml:space="preserve">The logistics account operations@bilishatid.example.com is verified and has status Pending Approval.</t>
  </si>
  <si>
    <t xml:space="preserve">1. Log in with the pending logistics account.
2. Try to open the logistics dashboard.</t>
  </si>
  <si>
    <t xml:space="preserve">A notice says the application is under review. The logistics cannot add riders or accept deliveries.</t>
  </si>
  <si>
    <t xml:space="preserve">TC-LOG-039</t>
  </si>
  <si>
    <t xml:space="preserve">New application appears in the admin's pending list</t>
  </si>
  <si>
    <t xml:space="preserve">The logistics account operations@bilishatid.example.com has status Pending Approval. An admin account is logged in.</t>
  </si>
  <si>
    <t xml:space="preserve">1. Open the pending logistics applications.
2. Open the application of Bilis Hatid Express Inc..
3. Open each uploaded document.</t>
  </si>
  <si>
    <t xml:space="preserve">Applicant: Bilis Hatid Express Inc.
Email: operations@bilishatid.example.com</t>
  </si>
  <si>
    <t xml:space="preserve">The application is listed as Pending. All details match the Test Data sheet, and each uploaded document opens correctly.</t>
  </si>
  <si>
    <t xml:space="preserve">TC-LOG-040</t>
  </si>
  <si>
    <t xml:space="preserve">Admin approves the application</t>
  </si>
  <si>
    <t xml:space="preserve">The application of Bilis Hatid Express Inc. is Pending Approval. An admin account is logged in.</t>
  </si>
  <si>
    <t xml:space="preserve">1. Open the application.
2. Click Approve and confirm.
3. Log in with the logistics account.</t>
  </si>
  <si>
    <t xml:space="preserve">Applicant: Bilis Hatid Express Inc.
Email: operations@bilishatid.example.com
Password: Hatid@2026</t>
  </si>
  <si>
    <t xml:space="preserve">Status changes to Approved. An approval email is sent to operations@bilishatid.example.com. On login, the logistics dashboard opens.</t>
  </si>
  <si>
    <t xml:space="preserve">TC-LOG-041</t>
  </si>
  <si>
    <t xml:space="preserve">Admin rejects the application with a reason</t>
  </si>
  <si>
    <t xml:space="preserve">A second logistics application is Pending Approval (use the Account 2 data). An admin account is logged in.</t>
  </si>
  <si>
    <t xml:space="preserve">1. Open the application.
2. Click Reject, type the reason, and confirm.
3. Log in with the logistics account.</t>
  </si>
  <si>
    <t xml:space="preserve">Reason: Mayor's permit expired on 12/31/2025.</t>
  </si>
  <si>
    <t xml:space="preserve">Status changes to Rejected. The logistics receives an email containing the reason. On login, the reason is shown and the logistics dashboard is not available.</t>
  </si>
  <si>
    <t xml:space="preserve">TC-LOG-042</t>
  </si>
  <si>
    <t xml:space="preserve">Rejected logistics corrects and resubmits</t>
  </si>
  <si>
    <t xml:space="preserve">The logistics application from the previous case has status Rejected.</t>
  </si>
  <si>
    <t xml:space="preserve">1. Log in with the rejected logistics account.
2. Replace the Mayor's / Business Permit.
3. Click Resubmit.</t>
  </si>
  <si>
    <t xml:space="preserve">Mayor's / Business Permit: mayors_permit_2026.pdf (1.2 MB)</t>
  </si>
  <si>
    <t xml:space="preserve">Status returns to Pending Approval and the application appears again in the admin's pending list with the new document.</t>
  </si>
  <si>
    <t xml:space="preserve">TC-LOG-043</t>
  </si>
  <si>
    <t xml:space="preserve">Access Control</t>
  </si>
  <si>
    <t xml:space="preserve">Non-admin opens the approval page</t>
  </si>
  <si>
    <t xml:space="preserve">The buyer account juanmiguel.delacruz@example.com is logged in.</t>
  </si>
  <si>
    <t xml:space="preserve">1. Paste the address of the admin's logistics applications page into the browser.
2. Press Enter.</t>
  </si>
  <si>
    <t xml:space="preserve">Admin page for logistics applications (copy the address while logged in as admin)</t>
  </si>
  <si>
    <t xml:space="preserve">Access is denied (error 403 or redirect). No application data is shown and no Approve or Reject action is possible.</t>
  </si>
  <si>
    <t xml:space="preserve">TC-LOG-044</t>
  </si>
  <si>
    <t xml:space="preserve">Open another role's pages</t>
  </si>
  <si>
    <t xml:space="preserve">The Approved logistics account operations@bilishatid.example.com is logged in.</t>
  </si>
  <si>
    <t xml:space="preserve">1. Paste the address of each dashboard in the test data into the browser, one at a time.</t>
  </si>
  <si>
    <t xml:space="preserve">Admin dashboard
Seller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</si>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</sst>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row>
    <row r="6" customFormat="false" ht="15" hidden="false" customHeight="false" outlineLevel="0" collapsed="false">
      <c r="A6" s="5" t="s">
        <v>4</v>
      </c>
      <c r="B6" s="6"/>
    </row>
    <row r="7" customFormat="false" ht="23.85" hidden="false" customHeight="false" outlineLevel="0" collapsed="false">
      <c r="A7" s="5" t="s">
        <v>5</v>
      </c>
      <c r="B7" s="6"/>
    </row>
    <row r="8" customFormat="false" ht="15" hidden="false" customHeight="false" outlineLevel="0" collapsed="false">
      <c r="A8" s="5" t="s">
        <v>6</v>
      </c>
      <c r="B8" s="6"/>
    </row>
    <row r="9" customFormat="false" ht="15" hidden="false" customHeight="false" outlineLevel="0" collapsed="false">
      <c r="A9" s="5" t="s">
        <v>7</v>
      </c>
      <c r="B9" s="6"/>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e">
        <f aca="false">COUNTA(#REF!)</f>
        <v>#REF!</v>
      </c>
      <c r="C14" s="9" t="e">
        <f aca="false">COUNTIF(#REF!,"Pass")</f>
        <v>#REF!</v>
      </c>
      <c r="D14" s="9" t="e">
        <f aca="false">COUNTIF(#REF!,"Fail")</f>
        <v>#REF!</v>
      </c>
      <c r="E14" s="9" t="e">
        <f aca="false">COUNTIF(#REF!,"Blocked")</f>
        <v>#REF!</v>
      </c>
      <c r="F14" s="9" t="e">
        <f aca="false">COUNTIF(#REF!,"Not Run")</f>
        <v>#REF!</v>
      </c>
      <c r="G14" s="10" t="e">
        <f aca="false">IF(B14=0,0,C14/B14)</f>
        <v>#REF!</v>
      </c>
    </row>
    <row r="15" customFormat="false" ht="15" hidden="false" customHeight="false" outlineLevel="0" collapsed="false">
      <c r="A15" s="8" t="s">
        <v>18</v>
      </c>
      <c r="B15" s="9" t="n">
        <f aca="false">COUNTA(Logistics!$A$2:$A$200)</f>
        <v>44</v>
      </c>
      <c r="C15" s="9" t="n">
        <f aca="false">COUNTIF(Logistics!$L$2:$L$200,"Pass")</f>
        <v>0</v>
      </c>
      <c r="D15" s="9" t="n">
        <f aca="false">COUNTIF(Logistics!$L$2:$L$200,"Fail")</f>
        <v>0</v>
      </c>
      <c r="E15" s="9" t="n">
        <f aca="false">COUNTIF(Logistics!$L$2:$L$200,"Blocked")</f>
        <v>0</v>
      </c>
      <c r="F15" s="9" t="n">
        <f aca="false">COUNTIF(Logistics!$L$2:$L$200,"Not Run")</f>
        <v>44</v>
      </c>
      <c r="G15" s="10" t="n">
        <f aca="false">IF(B15=0,0,C15/B15)</f>
        <v>0</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row>
    <row r="6" customFormat="false" ht="15" hidden="false" customHeight="false" outlineLevel="0" collapsed="false">
      <c r="A6" s="21" t="s">
        <v>325</v>
      </c>
      <c r="B6" s="19" t="s">
        <v>326</v>
      </c>
      <c r="C6" s="17" t="s">
        <v>327</v>
      </c>
      <c r="D6" s="22"/>
    </row>
    <row r="7" customFormat="false" ht="23.85" hidden="false" customHeight="false" outlineLevel="0" collapsed="false">
      <c r="A7" s="21" t="s">
        <v>328</v>
      </c>
      <c r="B7" s="19" t="s">
        <v>329</v>
      </c>
      <c r="C7" s="17" t="s">
        <v>330</v>
      </c>
      <c r="D7" s="22"/>
    </row>
    <row r="8" customFormat="false" ht="23.85" hidden="false" customHeight="false" outlineLevel="0" collapsed="false">
      <c r="A8" s="21" t="s">
        <v>331</v>
      </c>
      <c r="B8" s="19" t="s">
        <v>332</v>
      </c>
      <c r="C8" s="17" t="s">
        <v>333</v>
      </c>
      <c r="D8" s="22"/>
    </row>
    <row r="9" customFormat="false" ht="23.85" hidden="false" customHeight="false" outlineLevel="0" collapsed="false">
      <c r="A9" s="21" t="s">
        <v>334</v>
      </c>
      <c r="B9" s="19" t="s">
        <v>335</v>
      </c>
      <c r="C9" s="17" t="s">
        <v>336</v>
      </c>
      <c r="D9" s="22"/>
    </row>
    <row r="10" customFormat="false" ht="15" hidden="false" customHeight="false" outlineLevel="0" collapsed="false">
      <c r="A10" s="21" t="s">
        <v>337</v>
      </c>
      <c r="B10" s="19" t="s">
        <v>338</v>
      </c>
      <c r="C10" s="17" t="s">
        <v>339</v>
      </c>
      <c r="D10" s="22"/>
    </row>
    <row r="11" customFormat="false" ht="23.85" hidden="false" customHeight="false" outlineLevel="0" collapsed="false">
      <c r="A11" s="21" t="s">
        <v>340</v>
      </c>
      <c r="B11" s="19" t="s">
        <v>341</v>
      </c>
      <c r="C11" s="17" t="s">
        <v>342</v>
      </c>
      <c r="D11" s="22"/>
    </row>
    <row r="12" customFormat="false" ht="15" hidden="false" customHeight="false" outlineLevel="0" collapsed="false">
      <c r="A12" s="21" t="s">
        <v>343</v>
      </c>
      <c r="B12" s="19" t="s">
        <v>344</v>
      </c>
      <c r="C12" s="17" t="s">
        <v>345</v>
      </c>
      <c r="D12" s="22"/>
    </row>
    <row r="13" customFormat="false" ht="23.85" hidden="false" customHeight="false" outlineLevel="0" collapsed="false">
      <c r="A13" s="21" t="s">
        <v>346</v>
      </c>
      <c r="B13" s="19" t="s">
        <v>347</v>
      </c>
      <c r="C13" s="17" t="s">
        <v>348</v>
      </c>
      <c r="D13" s="22"/>
    </row>
    <row r="14" customFormat="false" ht="15" hidden="false" customHeight="false" outlineLevel="0" collapsed="false">
      <c r="A14" s="21" t="s">
        <v>349</v>
      </c>
      <c r="B14" s="19" t="s">
        <v>350</v>
      </c>
      <c r="C14" s="17" t="s">
        <v>351</v>
      </c>
      <c r="D14" s="22"/>
    </row>
    <row r="15" customFormat="false" ht="23.85" hidden="false" customHeight="false" outlineLevel="0" collapsed="false">
      <c r="A15" s="21" t="s">
        <v>352</v>
      </c>
      <c r="B15" s="19" t="s">
        <v>353</v>
      </c>
      <c r="C15" s="17" t="s">
        <v>354</v>
      </c>
      <c r="D15" s="22"/>
    </row>
    <row r="16" customFormat="false" ht="23.85" hidden="false" customHeight="false" outlineLevel="0" collapsed="false">
      <c r="A16" s="21" t="s">
        <v>355</v>
      </c>
      <c r="B16" s="19" t="s">
        <v>356</v>
      </c>
      <c r="C16" s="17" t="s">
        <v>357</v>
      </c>
      <c r="D16" s="22"/>
    </row>
    <row r="17" customFormat="false" ht="35.05" hidden="false" customHeight="false" outlineLevel="0" collapsed="false">
      <c r="A17" s="21" t="s">
        <v>358</v>
      </c>
      <c r="B17" s="19" t="s">
        <v>359</v>
      </c>
      <c r="C17" s="17" t="s">
        <v>360</v>
      </c>
      <c r="D17" s="22"/>
    </row>
    <row r="18" customFormat="false" ht="23.85" hidden="false" customHeight="false" outlineLevel="0" collapsed="false">
      <c r="A18" s="21" t="s">
        <v>361</v>
      </c>
      <c r="B18" s="19" t="s">
        <v>362</v>
      </c>
      <c r="C18" s="17" t="s">
        <v>363</v>
      </c>
      <c r="D18" s="22"/>
    </row>
    <row r="19" customFormat="false" ht="15" hidden="false" customHeight="false" outlineLevel="0" collapsed="false">
      <c r="A19" s="21" t="s">
        <v>364</v>
      </c>
      <c r="B19" s="19" t="s">
        <v>365</v>
      </c>
      <c r="C19" s="17" t="s">
        <v>366</v>
      </c>
      <c r="D19" s="22"/>
    </row>
    <row r="20" customFormat="false" ht="15" hidden="false" customHeight="false" outlineLevel="0" collapsed="false">
      <c r="A20" s="21" t="s">
        <v>367</v>
      </c>
      <c r="B20" s="19" t="s">
        <v>368</v>
      </c>
      <c r="C20" s="17" t="s">
        <v>369</v>
      </c>
      <c r="D20" s="2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92.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t="inlineStr">
        <is>
          <t xml:space="preserve">Buyer, seller and logistics accounts saved unverified; numeric OTP was captured by the mail double; correct OTP changed buyers to approved and business accounts to pending. External email delivery is unverified.</t>
        </is>
      </c>
      <c r="L2" t="inlineStr">
        <is>
          <t xml:space="preserve">PARTIAL</t>
        </is>
      </c>
      <c r="M2" s="22" t="inlineStr">
        <is>
          <t xml:space="preserve">NOT CERTIFIED. PARTIAL: Buyer, seller and logistics accounts saved unverified; numeric OTP was captured by the mail double; correct OTP changed buyers to approved and business accounts to pending. External email delivery is unverified.
Evidence: regression-final.xml: Tests.Feature.TeacherRegistrationTest::test_all_roles_save_unverified_and_only_transition_after_correct_email_code</t>
        </is>
      </c>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t="inlineStr">
        <is>
          <t xml:space="preserve">Related business-registration HTTP assertions passed; complete browser execution of every specified input and side effect remains unverified.</t>
        </is>
      </c>
      <c r="L3" t="inlineStr">
        <is>
          <t xml:space="preserve">PARTIAL</t>
        </is>
      </c>
      <c r="M3"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Tests.Feature.TeacherRegistrationTest::test_seller_and_logistics_each_required_field_blocks_registration_without_sending_email</t>
        </is>
      </c>
    </row>
    <row r="4" customFormat="false" ht="247.7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t="inlineStr">
        <is>
          <t xml:space="preserve">Related business-registration HTTP assertions passed; complete browser execution of every specified input and side effect remains unverified.</t>
        </is>
      </c>
      <c r="L4" t="inlineStr">
        <is>
          <t xml:space="preserve">PARTIAL</t>
        </is>
      </c>
      <c r="M4"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Tests.Feature.TeacherRegistrationTest::test_seller_and_logistics_each_required_field_blocks_registration_without_sending_email</t>
        </is>
      </c>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t="inlineStr">
        <is>
          <t xml:space="preserve">Related business-registration HTTP assertions passed; complete browser execution of every specified input and side effect remains unverified.</t>
        </is>
      </c>
      <c r="L5" t="inlineStr">
        <is>
          <t xml:space="preserve">PARTIAL</t>
        </is>
      </c>
      <c r="M5"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Tests.Feature.TeacherRegistrationTest::test_seller_and_logistics_names_enforce_format_and_two_to_fifty_characters</t>
        </is>
      </c>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t="inlineStr">
        <is>
          <t xml:space="preserve">Related business-registration HTTP assertions passed; complete browser execution of every specified input and side effect remains unverified.</t>
        </is>
      </c>
      <c r="L6" t="inlineStr">
        <is>
          <t xml:space="preserve">PARTIAL</t>
        </is>
      </c>
      <c r="M6"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Tests.Feature.TeacherRegistrationTest::test_seller_and_logistics_names_enforce_format_and_two_to_fifty_characters</t>
        </is>
      </c>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t="inlineStr">
        <is>
          <t xml:space="preserve">Related business-registration HTTP assertions passed; complete browser execution of every specified input and side effect remains unverified.</t>
        </is>
      </c>
      <c r="L7" t="inlineStr">
        <is>
          <t xml:space="preserve">PARTIAL</t>
        </is>
      </c>
      <c r="M7"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Tests.Feature.TeacherRegistrationTest::test_seller_and_logistics_names_enforce_format_and_two_to_fifty_characters</t>
        </is>
      </c>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t="inlineStr">
        <is>
          <t xml:space="preserve">Related business-registration HTTP assertions passed; complete browser execution of every specified input and side effect remains unverified.</t>
        </is>
      </c>
      <c r="L8" t="inlineStr">
        <is>
          <t xml:space="preserve">PARTIAL</t>
        </is>
      </c>
      <c r="M8"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t="inlineStr">
        <is>
          <t xml:space="preserve">Related business-registration HTTP assertions passed; complete browser execution of every specified input and side effect remains unverified.</t>
        </is>
      </c>
      <c r="L9" t="inlineStr">
        <is>
          <t xml:space="preserve">PARTIAL</t>
        </is>
      </c>
      <c r="M9"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t="inlineStr">
        <is>
          <t xml:space="preserve">Related business-registration HTTP assertions passed; complete browser execution of every specified input and side effect remains unverified.</t>
        </is>
      </c>
      <c r="L10" t="inlineStr">
        <is>
          <t xml:space="preserve">PARTIAL</t>
        </is>
      </c>
      <c r="M10"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t="inlineStr">
        <is>
          <t xml:space="preserve">Related business-registration HTTP assertions passed; complete browser execution of every specified input and side effect remains unverified.</t>
        </is>
      </c>
      <c r="L11" t="inlineStr">
        <is>
          <t xml:space="preserve">PARTIAL</t>
        </is>
      </c>
      <c r="M11"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t="inlineStr">
        <is>
          <t xml:space="preserve">Related business-registration HTTP assertions passed; complete browser execution of every specified input and side effect remains unverified.</t>
        </is>
      </c>
      <c r="L12" t="inlineStr">
        <is>
          <t xml:space="preserve">PARTIAL</t>
        </is>
      </c>
      <c r="M12"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t="inlineStr">
        <is>
          <t xml:space="preserve">Related business-registration HTTP assertions passed; complete browser execution of every specified input and side effect remains unverified.</t>
        </is>
      </c>
      <c r="L13" t="inlineStr">
        <is>
          <t xml:space="preserve">PARTIAL</t>
        </is>
      </c>
      <c r="M13"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t="inlineStr">
        <is>
          <t xml:space="preserve">Related business-registration HTTP assertions passed; complete browser execution of every specified input and side effect remains unverified.</t>
        </is>
      </c>
      <c r="L14" t="inlineStr">
        <is>
          <t xml:space="preserve">PARTIAL</t>
        </is>
      </c>
      <c r="M14"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t="inlineStr">
        <is>
          <t xml:space="preserve">Related business-registration HTTP assertions passed; complete browser execution of every specified input and side effect remains unverified.</t>
        </is>
      </c>
      <c r="L15" t="inlineStr">
        <is>
          <t xml:space="preserve">PARTIAL</t>
        </is>
      </c>
      <c r="M15"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t="inlineStr">
        <is>
          <t xml:space="preserve">Related business-registration HTTP assertions passed; complete browser execution of every specified input and side effect remains unverified.</t>
        </is>
      </c>
      <c r="L16" t="inlineStr">
        <is>
          <t xml:space="preserve">PARTIAL</t>
        </is>
      </c>
      <c r="M16"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t="inlineStr">
        <is>
          <t xml:space="preserve">Related business-registration HTTP assertions passed; complete browser execution of every specified input and side effect remains unverified.</t>
        </is>
      </c>
      <c r="L17" t="inlineStr">
        <is>
          <t xml:space="preserve">PARTIAL</t>
        </is>
      </c>
      <c r="M17"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t="inlineStr">
        <is>
          <t xml:space="preserve">Related business-registration HTTP assertions passed; complete browser execution of every specified input and side effect remains unverified.</t>
        </is>
      </c>
      <c r="L18" t="inlineStr">
        <is>
          <t xml:space="preserve">PARTIAL</t>
        </is>
      </c>
      <c r="M18"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t="inlineStr">
        <is>
          <t xml:space="preserve">Password controls have type=password in Chrome.</t>
        </is>
      </c>
      <c r="L19" t="inlineStr">
        <is>
          <t xml:space="preserve">PASS</t>
        </is>
      </c>
      <c r="M19" s="22" t="inlineStr">
        <is>
          <t xml:space="preserve">Evidence: regression-final.xml: Tests.Feature.TeacherRegistrationTest::test_business_role_email_phone_password_and_terms_rules; registration-browser.json</t>
        </is>
      </c>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t="inlineStr">
        <is>
          <t xml:space="preserve">Related business-registration HTTP assertions passed; complete browser execution of every specified input and side effect remains unverified.</t>
        </is>
      </c>
      <c r="L20" t="inlineStr">
        <is>
          <t xml:space="preserve">PARTIAL</t>
        </is>
      </c>
      <c r="M20"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t="inlineStr">
        <is>
          <t xml:space="preserve">No complete execution of this workbook scenario has been recorded.</t>
        </is>
      </c>
      <c r="L21" t="inlineStr">
        <is>
          <t xml:space="preserve">UNVERIFIED</t>
        </is>
      </c>
      <c r="M21" s="22" t="inlineStr">
        <is>
          <t xml:space="preserve">NOT CERTIFIED. UNVERIFIED: No complete execution of this workbook scenario has been recorded.
Evidence: No completed execution evidence.</t>
        </is>
      </c>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t="inlineStr">
        <is>
          <t xml:space="preserve">Related business-registration HTTP assertions passed; complete browser execution of every specified input and side effect remains unverified.</t>
        </is>
      </c>
      <c r="L22" t="inlineStr">
        <is>
          <t xml:space="preserve">PARTIAL</t>
        </is>
      </c>
      <c r="M22" s="22" t="inlineStr">
        <is>
          <t xml:space="preserve">NOT CERTIFIED. PARTIAL: Related business-registration HTTP assertions passed; complete browser execution of every specified input and side effect remains unverified.
Evidence: regression-final.xml: Tests.Feature.TeacherRegistrationTest::test_shop_name_length_and_case_insensitive_unique_business_identifiers</t>
        </is>
      </c>
    </row>
    <row r="23" customFormat="false" ht="46.25" hidden="false" customHeight="false" outlineLevel="0" collapsed="false">
      <c r="A23" s="21" t="s">
        <v>489</v>
      </c>
      <c r="B23" s="17" t="s">
        <v>484</v>
      </c>
      <c r="C23" s="17" t="s">
        <v>490</v>
      </c>
      <c r="D23" s="17" t="s">
        <v>43</v>
      </c>
      <c r="E23" s="20" t="s">
        <v>401</v>
      </c>
      <c r="F23" s="17" t="s">
        <v>389</v>
      </c>
      <c r="G23" s="17" t="s">
        <v>491</v>
      </c>
      <c r="H23" s="17" t="s">
        <v>492</v>
      </c>
      <c r="I23" s="17" t="s">
        <v>493</v>
      </c>
      <c r="J23" s="20" t="s">
        <v>361</v>
      </c>
      <c r="K23" s="22" t="inlineStr">
        <is>
          <t xml:space="preserve">Related business-registration HTTP assertions passed; complete browser execution of every specified input and side effect remains unverified.</t>
        </is>
      </c>
      <c r="L23" t="inlineStr">
        <is>
          <t xml:space="preserve">PARTIAL</t>
        </is>
      </c>
      <c r="M23" s="22" t="inlineStr">
        <is>
          <t xml:space="preserve">NOT CERTIFIED. PARTIAL: Related business-registration HTTP assertions passed; complete browser execution of every specified input and side effect remains unverified.
Evidence: regression-final.xml: Tests.Feature.TeacherRegistrationTest::test_tin_postal_and_sec_formats_and_multiple_service_areas</t>
        </is>
      </c>
    </row>
    <row r="24" customFormat="false" ht="46.25" hidden="false" customHeight="false" outlineLevel="0" collapsed="false">
      <c r="A24" s="21" t="s">
        <v>494</v>
      </c>
      <c r="B24" s="17" t="s">
        <v>484</v>
      </c>
      <c r="C24" s="17" t="s">
        <v>495</v>
      </c>
      <c r="D24" s="17" t="s">
        <v>43</v>
      </c>
      <c r="E24" s="20" t="s">
        <v>401</v>
      </c>
      <c r="F24" s="17" t="s">
        <v>421</v>
      </c>
      <c r="G24" s="17" t="s">
        <v>496</v>
      </c>
      <c r="H24" s="17" t="s">
        <v>497</v>
      </c>
      <c r="I24" s="17" t="s">
        <v>498</v>
      </c>
      <c r="J24" s="20" t="s">
        <v>361</v>
      </c>
      <c r="K24" s="22" t="inlineStr">
        <is>
          <t xml:space="preserve">Related business-registration HTTP assertions passed; complete browser execution of every specified input and side effect remains unverified.</t>
        </is>
      </c>
      <c r="L24" t="inlineStr">
        <is>
          <t xml:space="preserve">PARTIAL</t>
        </is>
      </c>
      <c r="M24" s="22" t="inlineStr">
        <is>
          <t xml:space="preserve">NOT CERTIFIED. PARTIAL: Related business-registration HTTP assertions passed; complete browser execution of every specified input and side effect remains unverified.
Evidence: regression-final.xml: Tests.Feature.TeacherRegistrationTest::test_shop_name_length_and_case_insensitive_unique_business_identifiers</t>
        </is>
      </c>
    </row>
    <row r="25" customFormat="false" ht="46.25" hidden="false" customHeight="false" outlineLevel="0" collapsed="false">
      <c r="A25" s="21" t="s">
        <v>499</v>
      </c>
      <c r="B25" s="17" t="s">
        <v>484</v>
      </c>
      <c r="C25" s="17" t="s">
        <v>500</v>
      </c>
      <c r="D25" s="17" t="s">
        <v>43</v>
      </c>
      <c r="E25" s="20" t="s">
        <v>407</v>
      </c>
      <c r="F25" s="17" t="s">
        <v>381</v>
      </c>
      <c r="G25" s="17" t="s">
        <v>501</v>
      </c>
      <c r="H25" s="17" t="s">
        <v>502</v>
      </c>
      <c r="I25" s="17" t="s">
        <v>503</v>
      </c>
      <c r="J25" s="20" t="s">
        <v>322</v>
      </c>
      <c r="K25" s="22" t="inlineStr">
        <is>
          <t xml:space="preserve">Related business-registration HTTP assertions passed; complete browser execution of every specified input and side effect remains unverified.</t>
        </is>
      </c>
      <c r="L25" t="inlineStr">
        <is>
          <t xml:space="preserve">PARTIAL</t>
        </is>
      </c>
      <c r="M25" s="22" t="inlineStr">
        <is>
          <t xml:space="preserve">NOT CERTIFIED. PARTIAL: Related business-registration HTTP assertions passed; complete browser execution of every specified input and side effect remains unverified.
Evidence: regression-final.xml: Tests.Feature.TeacherRegistrationTest::test_tin_postal_and_sec_formats_and_multiple_service_areas</t>
        </is>
      </c>
    </row>
    <row r="26" customFormat="false" ht="46.25" hidden="false" customHeight="false" outlineLevel="0" collapsed="false">
      <c r="A26" s="21" t="s">
        <v>504</v>
      </c>
      <c r="B26" s="17" t="s">
        <v>505</v>
      </c>
      <c r="C26" s="17" t="s">
        <v>506</v>
      </c>
      <c r="D26" s="17" t="s">
        <v>45</v>
      </c>
      <c r="E26" s="20" t="s">
        <v>380</v>
      </c>
      <c r="F26" s="17" t="s">
        <v>389</v>
      </c>
      <c r="G26" s="17" t="s">
        <v>507</v>
      </c>
      <c r="H26" s="17" t="s">
        <v>508</v>
      </c>
      <c r="I26" s="17" t="s">
        <v>509</v>
      </c>
      <c r="J26" s="20" t="s">
        <v>343</v>
      </c>
      <c r="K26" s="22" t="inlineStr">
        <is>
          <t xml:space="preserve">Related business-registration HTTP assertions passed; complete browser execution of every specified input and side effect remains unverified.</t>
        </is>
      </c>
      <c r="L26" t="inlineStr">
        <is>
          <t xml:space="preserve">PARTIAL</t>
        </is>
      </c>
      <c r="M26" s="22" t="inlineStr">
        <is>
          <t xml:space="preserve">NOT CERTIFIED. PARTIAL: Related business-registration HTTP assertions passed; complete browser execution of every specified input and side effect remains unverified.
Evidence: regression-final.xml: Tests.Feature.TeacherRegistrationTest::test_tin_postal_and_sec_formats_and_multiple_service_areas</t>
        </is>
      </c>
    </row>
    <row r="27" customFormat="false" ht="35.05" hidden="false" customHeight="false" outlineLevel="0" collapsed="false">
      <c r="A27" s="21" t="s">
        <v>510</v>
      </c>
      <c r="B27" s="17" t="s">
        <v>505</v>
      </c>
      <c r="C27" s="17" t="s">
        <v>511</v>
      </c>
      <c r="D27" s="17" t="s">
        <v>43</v>
      </c>
      <c r="E27" s="20" t="s">
        <v>401</v>
      </c>
      <c r="F27" s="17" t="s">
        <v>512</v>
      </c>
      <c r="G27" s="17" t="s">
        <v>513</v>
      </c>
      <c r="H27" s="17" t="s">
        <v>514</v>
      </c>
      <c r="I27" s="17" t="s">
        <v>515</v>
      </c>
      <c r="J27" s="20" t="s">
        <v>343</v>
      </c>
      <c r="K27" s="22" t="inlineStr">
        <is>
          <t xml:space="preserve">Related business-registration HTTP assertions passed; complete browser execution of every specified input and side effect remains unverified.</t>
        </is>
      </c>
      <c r="L27" t="inlineStr">
        <is>
          <t xml:space="preserve">PARTIAL</t>
        </is>
      </c>
      <c r="M27" s="22" t="inlineStr">
        <is>
          <t xml:space="preserve">NOT CERTIFIED. PARTIAL: Related business-registration HTTP assertions passed; complete browser execution of every specified input and side effect remains unverified.
Evidence: regression-final.xml: Tests.Feature.TeacherRegistrationTest::test_shop_name_length_and_case_insensitive_unique_business_identifiers</t>
        </is>
      </c>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t="inlineStr">
        <is>
          <t xml:space="preserve">No complete execution of this workbook scenario has been recorded.</t>
        </is>
      </c>
      <c r="L28" t="inlineStr">
        <is>
          <t xml:space="preserve">UNVERIFIED</t>
        </is>
      </c>
      <c r="M28" s="22" t="inlineStr">
        <is>
          <t xml:space="preserve">NOT CERTIFIED. UNVERIFIED: No complete execution of this workbook scenario has been recorded.
Evidence: No completed execution evidence.</t>
        </is>
      </c>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t="inlineStr">
        <is>
          <t xml:space="preserve">Related business-registration HTTP assertions passed; complete browser execution of every specified input and side effect remains unverified.</t>
        </is>
      </c>
      <c r="L29" t="inlineStr">
        <is>
          <t xml:space="preserve">PARTIAL</t>
        </is>
      </c>
      <c r="M29" s="22" t="inlineStr">
        <is>
          <t xml:space="preserve">NOT CERTIFIED. PARTIAL: Related business-registration HTTP assertions passed; complete browser execution of every specified input and side effect remains unverified.
Evidence: regression-final.xml: Tests.Feature.TeacherRegistrationTest::test_tin_postal_and_sec_formats_and_multiple_service_areas</t>
        </is>
      </c>
    </row>
    <row r="30" customFormat="false" ht="68.6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t="inlineStr">
        <is>
          <t xml:space="preserve">Related business-registration HTTP assertions passed; complete browser execution of every specified input and side effect remains unverified.</t>
        </is>
      </c>
      <c r="L30" t="inlineStr">
        <is>
          <t xml:space="preserve">PARTIAL</t>
        </is>
      </c>
      <c r="M30" s="22" t="inlineStr">
        <is>
          <t xml:space="preserve">NOT CERTIFIED. PARTIAL: Related business-registration HTTP assertions passed; complete browser execution of every specified input and side effect remains unverified.
Evidence: regression-final.xml: Tests.Feature.TeacherRegistrationTest::test_business_documents_accept_supported_types_and_enforce_five_mb_limit</t>
        </is>
      </c>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t="inlineStr">
        <is>
          <t xml:space="preserve">Related business-registration HTTP assertions passed; complete browser execution of every specified input and side effect remains unverified.</t>
        </is>
      </c>
      <c r="L31" t="inlineStr">
        <is>
          <t xml:space="preserve">PARTIAL</t>
        </is>
      </c>
      <c r="M31" s="22" t="inlineStr">
        <is>
          <t xml:space="preserve">NOT CERTIFIED. PARTIAL: Related business-registration HTTP assertions passed; complete browser execution of every specified input and side effect remains unverified.
Evidence: regression-final.xml: Tests.Feature.TeacherRegistrationTest::test_business_documents_accept_supported_types_and_enforce_five_mb_limit</t>
        </is>
      </c>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t="inlineStr">
        <is>
          <t xml:space="preserve">Related business-registration HTTP assertions passed; complete browser execution of every specified input and side effect remains unverified.</t>
        </is>
      </c>
      <c r="L32" t="inlineStr">
        <is>
          <t xml:space="preserve">PARTIAL</t>
        </is>
      </c>
      <c r="M32" s="22" t="inlineStr">
        <is>
          <t xml:space="preserve">NOT CERTIFIED. PARTIAL: Related business-registration HTTP assertions passed; complete browser execution of every specified input and side effect remains unverified.
Evidence: regression-final.xml: Tests.Feature.TeacherRegistrationTest::test_business_documents_accept_supported_types_and_enforce_five_mb_limit</t>
        </is>
      </c>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t="inlineStr">
        <is>
          <t xml:space="preserve">No complete execution of this workbook scenario has been recorded.</t>
        </is>
      </c>
      <c r="L33" t="inlineStr">
        <is>
          <t xml:space="preserve">UNVERIFIED</t>
        </is>
      </c>
      <c r="M33" s="22" t="inlineStr">
        <is>
          <t xml:space="preserve">NOT CERTIFIED. UNVERIFIED: No complete execution of this workbook scenario has been recorded.
Evidence: No completed execution evidence.</t>
        </is>
      </c>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t="inlineStr">
        <is>
          <t xml:space="preserve">No complete execution of this workbook scenario has been recorded.</t>
        </is>
      </c>
      <c r="L34" t="inlineStr">
        <is>
          <t xml:space="preserve">UNVERIFIED</t>
        </is>
      </c>
      <c r="M34" s="22" t="inlineStr">
        <is>
          <t xml:space="preserve">NOT CERTIFIED. UNVERIFIED: No complete execution of this workbook scenario has been recorded.
Evidence: No completed execution evidence.</t>
        </is>
      </c>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t="inlineStr">
        <is>
          <t xml:space="preserve">No complete execution of this workbook scenario has been recorded.</t>
        </is>
      </c>
      <c r="L35" t="inlineStr">
        <is>
          <t xml:space="preserve">UNVERIFIED</t>
        </is>
      </c>
      <c r="M35" s="22" t="inlineStr">
        <is>
          <t xml:space="preserve">NOT CERTIFIED. UNVERIFIED: No complete execution of this workbook scenario has been recorded.
Evidence: No completed execution evidence.</t>
        </is>
      </c>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t="inlineStr">
        <is>
          <t xml:space="preserve">No complete execution of this workbook scenario has been recorded.</t>
        </is>
      </c>
      <c r="L36" t="inlineStr">
        <is>
          <t xml:space="preserve">UNVERIFIED</t>
        </is>
      </c>
      <c r="M36" s="22" t="inlineStr">
        <is>
          <t xml:space="preserve">NOT CERTIFIED. UNVERIFIED: No complete execution of this workbook scenario has been recorded.
Evidence: No completed execution evidence.</t>
        </is>
      </c>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t="inlineStr">
        <is>
          <t xml:space="preserve">No complete execution of this workbook scenario has been recorded.</t>
        </is>
      </c>
      <c r="L37" t="inlineStr">
        <is>
          <t xml:space="preserve">UNVERIFIED</t>
        </is>
      </c>
      <c r="M37" s="22" t="inlineStr">
        <is>
          <t xml:space="preserve">NOT CERTIFIED. UNVERIFIED: No complete execution of this workbook scenario has been recorded.
Evidence: No completed execution evidence.</t>
        </is>
      </c>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t="inlineStr">
        <is>
          <t xml:space="preserve">No complete execution of this workbook scenario has been recorded.</t>
        </is>
      </c>
      <c r="L38" t="inlineStr">
        <is>
          <t xml:space="preserve">UNVERIFIED</t>
        </is>
      </c>
      <c r="M38" s="22" t="inlineStr">
        <is>
          <t xml:space="preserve">NOT CERTIFIED. UNVERIFIED: No complete execution of this workbook scenario has been recorded.
Evidence: No completed execution evidence.</t>
        </is>
      </c>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t="inlineStr">
        <is>
          <t xml:space="preserve">Related business-registration HTTP assertions passed; complete browser execution of every specified input and side effect remains unverified.</t>
        </is>
      </c>
      <c r="L39" t="inlineStr">
        <is>
          <t xml:space="preserve">PARTIAL</t>
        </is>
      </c>
      <c r="M39"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t="inlineStr">
        <is>
          <t xml:space="preserve">Related business-registration HTTP assertions passed; complete browser execution of every specified input and side effect remains unverified.</t>
        </is>
      </c>
      <c r="L40" t="inlineStr">
        <is>
          <t xml:space="preserve">PARTIAL</t>
        </is>
      </c>
      <c r="M40"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t="inlineStr">
        <is>
          <t xml:space="preserve">Related business-registration HTTP assertions passed; complete browser execution of every specified input and side effect remains unverified.</t>
        </is>
      </c>
      <c r="L41" t="inlineStr">
        <is>
          <t xml:space="preserve">PARTIAL</t>
        </is>
      </c>
      <c r="M41"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t="inlineStr">
        <is>
          <t xml:space="preserve">Related business-registration HTTP assertions passed; complete browser execution of every specified input and side effect remains unverified.</t>
        </is>
      </c>
      <c r="L42" t="inlineStr">
        <is>
          <t xml:space="preserve">PARTIAL</t>
        </is>
      </c>
      <c r="M42"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3" customFormat="false" ht="35.0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t="inlineStr">
        <is>
          <t xml:space="preserve">Related business-registration HTTP assertions passed; complete browser execution of every specified input and side effect remains unverified.</t>
        </is>
      </c>
      <c r="L43" t="inlineStr">
        <is>
          <t xml:space="preserve">PARTIAL</t>
        </is>
      </c>
      <c r="M43"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t="inlineStr">
        <is>
          <t xml:space="preserve">No complete execution of this workbook scenario has been recorded.</t>
        </is>
      </c>
      <c r="L44" t="inlineStr">
        <is>
          <t xml:space="preserve">UNVERIFIED</t>
        </is>
      </c>
      <c r="M44" s="22" t="inlineStr">
        <is>
          <t xml:space="preserve">NOT CERTIFIED. UNVERIFIED: No complete execution of this workbook scenario has been recorded.
Evidence: No completed execution evidence.</t>
        </is>
      </c>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t="inlineStr">
        <is>
          <t xml:space="preserve">No complete execution of this workbook scenario has been recorded.</t>
        </is>
      </c>
      <c r="L45" t="inlineStr">
        <is>
          <t xml:space="preserve">UNVERIFIED</t>
        </is>
      </c>
      <c r="M45" s="22" t="inlineStr">
        <is>
          <t xml:space="preserve">NOT CERTIFIED. UNVERIFIED: No complete execution of this workbook scenario has been recorded.
Evidence: No completed execution evidence.</t>
        </is>
      </c>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2026-10-16T08:41:32Z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