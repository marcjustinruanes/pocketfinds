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B1 Account" sheetId="5" state="visible" r:id="rId5"/>
    <sheet xmlns:r="http://schemas.openxmlformats.org/officeDocument/2006/relationships" name="B2 Address Book" sheetId="6" state="visible" r:id="rId6"/>
    <sheet xmlns:r="http://schemas.openxmlformats.org/officeDocument/2006/relationships" name="B3 Browse &amp; Search" sheetId="7" state="visible" r:id="rId7"/>
    <sheet xmlns:r="http://schemas.openxmlformats.org/officeDocument/2006/relationships" name="B4 Product Detail" sheetId="8" state="visible" r:id="rId8"/>
    <sheet xmlns:r="http://schemas.openxmlformats.org/officeDocument/2006/relationships" name="B5 Wishlist &amp; Follow" sheetId="9" state="visible" r:id="rId9"/>
    <sheet xmlns:r="http://schemas.openxmlformats.org/officeDocument/2006/relationships" name="B6 Cart" sheetId="10" state="visible" r:id="rId10"/>
    <sheet xmlns:r="http://schemas.openxmlformats.org/officeDocument/2006/relationships" name="B7 Vouchers" sheetId="11" state="visible" r:id="rId11"/>
    <sheet xmlns:r="http://schemas.openxmlformats.org/officeDocument/2006/relationships" name="B8 Checkout" sheetId="12" state="visible" r:id="rId12"/>
    <sheet xmlns:r="http://schemas.openxmlformats.org/officeDocument/2006/relationships" name="B9 Payment" sheetId="13" state="visible" r:id="rId13"/>
    <sheet xmlns:r="http://schemas.openxmlformats.org/officeDocument/2006/relationships" name="B10 Order Tracking" sheetId="14" state="visible" r:id="rId14"/>
    <sheet xmlns:r="http://schemas.openxmlformats.org/officeDocument/2006/relationships" name="B11 Cancellation" sheetId="15" state="visible" r:id="rId15"/>
    <sheet xmlns:r="http://schemas.openxmlformats.org/officeDocument/2006/relationships" name="B12 Return &amp; Refund" sheetId="16" state="visible" r:id="rId16"/>
    <sheet xmlns:r="http://schemas.openxmlformats.org/officeDocument/2006/relationships" name="B13 Ratings &amp; Reviews" sheetId="17" state="visible" r:id="rId17"/>
    <sheet xmlns:r="http://schemas.openxmlformats.org/officeDocument/2006/relationships" name="B14 Chat &amp; Notifs" sheetId="18" state="visible" r:id="rId18"/>
  </sheets>
  <definedNames>
    <definedName name="_xlnm._FilterDatabase" localSheetId="4" hidden="1">'B1 Account'!$A$1:$M$10</definedName>
    <definedName name="_xlnm._FilterDatabase" localSheetId="5" hidden="1">'B2 Address Book'!$A$1:$M$10</definedName>
    <definedName name="_xlnm._FilterDatabase" localSheetId="6" hidden="1">'B3 Browse &amp; Search'!$A$1:$M$12</definedName>
    <definedName name="_xlnm._FilterDatabase" localSheetId="7" hidden="1">'B4 Product Detail'!$A$1:$M$9</definedName>
    <definedName name="_xlnm._FilterDatabase" localSheetId="8" hidden="1">'B5 Wishlist &amp; Follow'!$A$1:$M$6</definedName>
    <definedName name="_xlnm._FilterDatabase" localSheetId="9" hidden="1">'B6 Cart'!$A$1:$M$11</definedName>
    <definedName name="_xlnm._FilterDatabase" localSheetId="10" hidden="1">'B7 Vouchers'!$A$1:$M$13</definedName>
    <definedName name="_xlnm._FilterDatabase" localSheetId="11" hidden="1">'B8 Checkout'!$A$1:$M$12</definedName>
    <definedName name="_xlnm._FilterDatabase" localSheetId="12" hidden="1">'B9 Payment'!$A$1:$M$8</definedName>
    <definedName name="_xlnm._FilterDatabase" localSheetId="13" hidden="1">'B10 Order Tracking'!$A$1:$M$7</definedName>
    <definedName name="_xlnm._FilterDatabase" localSheetId="14" hidden="1">'B11 Cancellation'!$A$1:$M$7</definedName>
    <definedName name="_xlnm._FilterDatabase" localSheetId="15" hidden="1">'B12 Return &amp; Refund'!$A$1:$M$6</definedName>
    <definedName name="_xlnm._FilterDatabase" localSheetId="16" hidden="1">'B13 Ratings &amp; Reviews'!$A$1:$M$7</definedName>
    <definedName name="_xlnm._FilterDatabase" localSheetId="17" hidden="1">'B14 Chat &amp; Notifs'!$A$1:$M$6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Buyer Modules (B1–B14)</t>
        </is>
      </c>
    </row>
    <row r="2">
      <c r="A2" s="2" t="inlineStr">
        <is>
          <t>Multi-role e-commerce and logistics platform (Buyer, Seller, Logistics, Rider)</t>
        </is>
      </c>
    </row>
    <row r="4">
      <c r="A4" s="3" t="inlineStr">
        <is>
          <t>Test run details</t>
        </is>
      </c>
    </row>
    <row r="5">
      <c r="A5" s="4" t="inlineStr">
        <is>
          <t>System under test</t>
        </is>
      </c>
      <c r="B5" s="5" t="n"/>
    </row>
    <row r="6">
      <c r="A6" s="4" t="inlineStr">
        <is>
          <t>Version / build</t>
        </is>
      </c>
      <c r="B6" s="5" t="n"/>
    </row>
    <row r="7">
      <c r="A7" s="4" t="inlineStr">
        <is>
          <t>Test environment (browser, device)</t>
        </is>
      </c>
      <c r="B7" s="5" t="n"/>
    </row>
    <row r="8">
      <c r="A8" s="4" t="inlineStr">
        <is>
          <t>Tester</t>
        </is>
      </c>
      <c r="B8" s="5" t="n"/>
    </row>
    <row r="9">
      <c r="A9" s="4" t="inlineStr">
        <is>
          <t>Date tested</t>
        </is>
      </c>
      <c r="B9" s="5" t="n"/>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B1 Account</t>
        </is>
      </c>
      <c r="B13" s="8">
        <f>COUNTA('B1 Account'!$A$2:$A$200)</f>
        <v/>
      </c>
      <c r="C13" s="8">
        <f>COUNTIF('B1 Account'!$L$2:$L$200,"Pass")</f>
        <v/>
      </c>
      <c r="D13" s="8">
        <f>COUNTIF('B1 Account'!$L$2:$L$200,"Fail")</f>
        <v/>
      </c>
      <c r="E13" s="8">
        <f>COUNTIF('B1 Account'!$L$2:$L$200,"Blocked")</f>
        <v/>
      </c>
      <c r="F13" s="8">
        <f>COUNTIF('B1 Account'!$L$2:$L$200,"Not Run")</f>
        <v/>
      </c>
      <c r="G13" s="9">
        <f>IF(B13=0,0,C13/B13)</f>
        <v/>
      </c>
    </row>
    <row r="14">
      <c r="A14" s="7" t="inlineStr">
        <is>
          <t>B2 Address Book</t>
        </is>
      </c>
      <c r="B14" s="8">
        <f>COUNTA('B2 Address Book'!$A$2:$A$200)</f>
        <v/>
      </c>
      <c r="C14" s="8">
        <f>COUNTIF('B2 Address Book'!$L$2:$L$200,"Pass")</f>
        <v/>
      </c>
      <c r="D14" s="8">
        <f>COUNTIF('B2 Address Book'!$L$2:$L$200,"Fail")</f>
        <v/>
      </c>
      <c r="E14" s="8">
        <f>COUNTIF('B2 Address Book'!$L$2:$L$200,"Blocked")</f>
        <v/>
      </c>
      <c r="F14" s="8">
        <f>COUNTIF('B2 Address Book'!$L$2:$L$200,"Not Run")</f>
        <v/>
      </c>
      <c r="G14" s="9">
        <f>IF(B14=0,0,C14/B14)</f>
        <v/>
      </c>
    </row>
    <row r="15">
      <c r="A15" s="7" t="inlineStr">
        <is>
          <t>B3 Browse &amp; Search</t>
        </is>
      </c>
      <c r="B15" s="8">
        <f>COUNTA('B3 Browse &amp; Search'!$A$2:$A$200)</f>
        <v/>
      </c>
      <c r="C15" s="8">
        <f>COUNTIF('B3 Browse &amp; Search'!$L$2:$L$200,"Pass")</f>
        <v/>
      </c>
      <c r="D15" s="8">
        <f>COUNTIF('B3 Browse &amp; Search'!$L$2:$L$200,"Fail")</f>
        <v/>
      </c>
      <c r="E15" s="8">
        <f>COUNTIF('B3 Browse &amp; Search'!$L$2:$L$200,"Blocked")</f>
        <v/>
      </c>
      <c r="F15" s="8">
        <f>COUNTIF('B3 Browse &amp; Search'!$L$2:$L$200,"Not Run")</f>
        <v/>
      </c>
      <c r="G15" s="9">
        <f>IF(B15=0,0,C15/B15)</f>
        <v/>
      </c>
    </row>
    <row r="16">
      <c r="A16" s="7" t="inlineStr">
        <is>
          <t>B4 Product Detail</t>
        </is>
      </c>
      <c r="B16" s="8">
        <f>COUNTA('B4 Product Detail'!$A$2:$A$200)</f>
        <v/>
      </c>
      <c r="C16" s="8">
        <f>COUNTIF('B4 Product Detail'!$L$2:$L$200,"Pass")</f>
        <v/>
      </c>
      <c r="D16" s="8">
        <f>COUNTIF('B4 Product Detail'!$L$2:$L$200,"Fail")</f>
        <v/>
      </c>
      <c r="E16" s="8">
        <f>COUNTIF('B4 Product Detail'!$L$2:$L$200,"Blocked")</f>
        <v/>
      </c>
      <c r="F16" s="8">
        <f>COUNTIF('B4 Product Detail'!$L$2:$L$200,"Not Run")</f>
        <v/>
      </c>
      <c r="G16" s="9">
        <f>IF(B16=0,0,C16/B16)</f>
        <v/>
      </c>
    </row>
    <row r="17">
      <c r="A17" s="7" t="inlineStr">
        <is>
          <t>B5 Wishlist &amp; Follow</t>
        </is>
      </c>
      <c r="B17" s="8">
        <f>COUNTA('B5 Wishlist &amp; Follow'!$A$2:$A$200)</f>
        <v/>
      </c>
      <c r="C17" s="8">
        <f>COUNTIF('B5 Wishlist &amp; Follow'!$L$2:$L$200,"Pass")</f>
        <v/>
      </c>
      <c r="D17" s="8">
        <f>COUNTIF('B5 Wishlist &amp; Follow'!$L$2:$L$200,"Fail")</f>
        <v/>
      </c>
      <c r="E17" s="8">
        <f>COUNTIF('B5 Wishlist &amp; Follow'!$L$2:$L$200,"Blocked")</f>
        <v/>
      </c>
      <c r="F17" s="8">
        <f>COUNTIF('B5 Wishlist &amp; Follow'!$L$2:$L$200,"Not Run")</f>
        <v/>
      </c>
      <c r="G17" s="9">
        <f>IF(B17=0,0,C17/B17)</f>
        <v/>
      </c>
    </row>
    <row r="18">
      <c r="A18" s="7" t="inlineStr">
        <is>
          <t>B6 Cart</t>
        </is>
      </c>
      <c r="B18" s="8">
        <f>COUNTA('B6 Cart'!$A$2:$A$200)</f>
        <v/>
      </c>
      <c r="C18" s="8">
        <f>COUNTIF('B6 Cart'!$L$2:$L$200,"Pass")</f>
        <v/>
      </c>
      <c r="D18" s="8">
        <f>COUNTIF('B6 Cart'!$L$2:$L$200,"Fail")</f>
        <v/>
      </c>
      <c r="E18" s="8">
        <f>COUNTIF('B6 Cart'!$L$2:$L$200,"Blocked")</f>
        <v/>
      </c>
      <c r="F18" s="8">
        <f>COUNTIF('B6 Cart'!$L$2:$L$200,"Not Run")</f>
        <v/>
      </c>
      <c r="G18" s="9">
        <f>IF(B18=0,0,C18/B18)</f>
        <v/>
      </c>
    </row>
    <row r="19">
      <c r="A19" s="7" t="inlineStr">
        <is>
          <t>B7 Vouchers</t>
        </is>
      </c>
      <c r="B19" s="8">
        <f>COUNTA('B7 Vouchers'!$A$2:$A$200)</f>
        <v/>
      </c>
      <c r="C19" s="8">
        <f>COUNTIF('B7 Vouchers'!$L$2:$L$200,"Pass")</f>
        <v/>
      </c>
      <c r="D19" s="8">
        <f>COUNTIF('B7 Vouchers'!$L$2:$L$200,"Fail")</f>
        <v/>
      </c>
      <c r="E19" s="8">
        <f>COUNTIF('B7 Vouchers'!$L$2:$L$200,"Blocked")</f>
        <v/>
      </c>
      <c r="F19" s="8">
        <f>COUNTIF('B7 Vouchers'!$L$2:$L$200,"Not Run")</f>
        <v/>
      </c>
      <c r="G19" s="9">
        <f>IF(B19=0,0,C19/B19)</f>
        <v/>
      </c>
    </row>
    <row r="20">
      <c r="A20" s="7" t="inlineStr">
        <is>
          <t>B8 Checkout</t>
        </is>
      </c>
      <c r="B20" s="8">
        <f>COUNTA('B8 Checkout'!$A$2:$A$200)</f>
        <v/>
      </c>
      <c r="C20" s="8">
        <f>COUNTIF('B8 Checkout'!$L$2:$L$200,"Pass")</f>
        <v/>
      </c>
      <c r="D20" s="8">
        <f>COUNTIF('B8 Checkout'!$L$2:$L$200,"Fail")</f>
        <v/>
      </c>
      <c r="E20" s="8">
        <f>COUNTIF('B8 Checkout'!$L$2:$L$200,"Blocked")</f>
        <v/>
      </c>
      <c r="F20" s="8">
        <f>COUNTIF('B8 Checkout'!$L$2:$L$200,"Not Run")</f>
        <v/>
      </c>
      <c r="G20" s="9">
        <f>IF(B20=0,0,C20/B20)</f>
        <v/>
      </c>
    </row>
    <row r="21">
      <c r="A21" s="7" t="inlineStr">
        <is>
          <t>B9 Payment</t>
        </is>
      </c>
      <c r="B21" s="8">
        <f>COUNTA('B9 Payment'!$A$2:$A$200)</f>
        <v/>
      </c>
      <c r="C21" s="8">
        <f>COUNTIF('B9 Payment'!$L$2:$L$200,"Pass")</f>
        <v/>
      </c>
      <c r="D21" s="8">
        <f>COUNTIF('B9 Payment'!$L$2:$L$200,"Fail")</f>
        <v/>
      </c>
      <c r="E21" s="8">
        <f>COUNTIF('B9 Payment'!$L$2:$L$200,"Blocked")</f>
        <v/>
      </c>
      <c r="F21" s="8">
        <f>COUNTIF('B9 Payment'!$L$2:$L$200,"Not Run")</f>
        <v/>
      </c>
      <c r="G21" s="9">
        <f>IF(B21=0,0,C21/B21)</f>
        <v/>
      </c>
    </row>
    <row r="22">
      <c r="A22" s="7" t="inlineStr">
        <is>
          <t>B10 Order Tracking</t>
        </is>
      </c>
      <c r="B22" s="8">
        <f>COUNTA('B10 Order Tracking'!$A$2:$A$200)</f>
        <v/>
      </c>
      <c r="C22" s="8">
        <f>COUNTIF('B10 Order Tracking'!$L$2:$L$200,"Pass")</f>
        <v/>
      </c>
      <c r="D22" s="8">
        <f>COUNTIF('B10 Order Tracking'!$L$2:$L$200,"Fail")</f>
        <v/>
      </c>
      <c r="E22" s="8">
        <f>COUNTIF('B10 Order Tracking'!$L$2:$L$200,"Blocked")</f>
        <v/>
      </c>
      <c r="F22" s="8">
        <f>COUNTIF('B10 Order Tracking'!$L$2:$L$200,"Not Run")</f>
        <v/>
      </c>
      <c r="G22" s="9">
        <f>IF(B22=0,0,C22/B22)</f>
        <v/>
      </c>
    </row>
    <row r="23">
      <c r="A23" s="7" t="inlineStr">
        <is>
          <t>B11 Cancellation</t>
        </is>
      </c>
      <c r="B23" s="8">
        <f>COUNTA('B11 Cancellation'!$A$2:$A$200)</f>
        <v/>
      </c>
      <c r="C23" s="8">
        <f>COUNTIF('B11 Cancellation'!$L$2:$L$200,"Pass")</f>
        <v/>
      </c>
      <c r="D23" s="8">
        <f>COUNTIF('B11 Cancellation'!$L$2:$L$200,"Fail")</f>
        <v/>
      </c>
      <c r="E23" s="8">
        <f>COUNTIF('B11 Cancellation'!$L$2:$L$200,"Blocked")</f>
        <v/>
      </c>
      <c r="F23" s="8">
        <f>COUNTIF('B11 Cancellation'!$L$2:$L$200,"Not Run")</f>
        <v/>
      </c>
      <c r="G23" s="9">
        <f>IF(B23=0,0,C23/B23)</f>
        <v/>
      </c>
    </row>
    <row r="24">
      <c r="A24" s="7" t="inlineStr">
        <is>
          <t>B12 Return &amp; Refund</t>
        </is>
      </c>
      <c r="B24" s="8">
        <f>COUNTA('B12 Return &amp; Refund'!$A$2:$A$200)</f>
        <v/>
      </c>
      <c r="C24" s="8">
        <f>COUNTIF('B12 Return &amp; Refund'!$L$2:$L$200,"Pass")</f>
        <v/>
      </c>
      <c r="D24" s="8">
        <f>COUNTIF('B12 Return &amp; Refund'!$L$2:$L$200,"Fail")</f>
        <v/>
      </c>
      <c r="E24" s="8">
        <f>COUNTIF('B12 Return &amp; Refund'!$L$2:$L$200,"Blocked")</f>
        <v/>
      </c>
      <c r="F24" s="8">
        <f>COUNTIF('B12 Return &amp; Refund'!$L$2:$L$200,"Not Run")</f>
        <v/>
      </c>
      <c r="G24" s="9">
        <f>IF(B24=0,0,C24/B24)</f>
        <v/>
      </c>
    </row>
    <row r="25">
      <c r="A25" s="7" t="inlineStr">
        <is>
          <t>B13 Ratings &amp; Reviews</t>
        </is>
      </c>
      <c r="B25" s="8">
        <f>COUNTA('B13 Ratings &amp; Reviews'!$A$2:$A$200)</f>
        <v/>
      </c>
      <c r="C25" s="8">
        <f>COUNTIF('B13 Ratings &amp; Reviews'!$L$2:$L$200,"Pass")</f>
        <v/>
      </c>
      <c r="D25" s="8">
        <f>COUNTIF('B13 Ratings &amp; Reviews'!$L$2:$L$200,"Fail")</f>
        <v/>
      </c>
      <c r="E25" s="8">
        <f>COUNTIF('B13 Ratings &amp; Reviews'!$L$2:$L$200,"Blocked")</f>
        <v/>
      </c>
      <c r="F25" s="8">
        <f>COUNTIF('B13 Ratings &amp; Reviews'!$L$2:$L$200,"Not Run")</f>
        <v/>
      </c>
      <c r="G25" s="9">
        <f>IF(B25=0,0,C25/B25)</f>
        <v/>
      </c>
    </row>
    <row r="26">
      <c r="A26" s="7" t="inlineStr">
        <is>
          <t>B14 Chat &amp; Notifs</t>
        </is>
      </c>
      <c r="B26" s="8">
        <f>COUNTA('B14 Chat &amp; Notifs'!$A$2:$A$200)</f>
        <v/>
      </c>
      <c r="C26" s="8">
        <f>COUNTIF('B14 Chat &amp; Notifs'!$L$2:$L$200,"Pass")</f>
        <v/>
      </c>
      <c r="D26" s="8">
        <f>COUNTIF('B14 Chat &amp; Notifs'!$L$2:$L$200,"Fail")</f>
        <v/>
      </c>
      <c r="E26" s="8">
        <f>COUNTIF('B14 Chat &amp; Notifs'!$L$2:$L$200,"Blocked")</f>
        <v/>
      </c>
      <c r="F26" s="8">
        <f>COUNTIF('B14 Chat &amp; Notifs'!$L$2:$L$200,"Not Run")</f>
        <v/>
      </c>
      <c r="G26" s="9">
        <f>IF(B26=0,0,C26/B26)</f>
        <v/>
      </c>
    </row>
    <row r="27">
      <c r="A27" s="4" t="inlineStr">
        <is>
          <t>Total</t>
        </is>
      </c>
      <c r="B27" s="4">
        <f>SUM(B13:B26)</f>
        <v/>
      </c>
      <c r="C27" s="4">
        <f>SUM(C13:C26)</f>
        <v/>
      </c>
      <c r="D27" s="4">
        <f>SUM(D13:D26)</f>
        <v/>
      </c>
      <c r="E27" s="4">
        <f>SUM(E13:E26)</f>
        <v/>
      </c>
      <c r="F27" s="4">
        <f>SUM(F13:F26)</f>
        <v/>
      </c>
      <c r="G27" s="10">
        <f>IF(B27=0,0,C27/B27)</f>
        <v/>
      </c>
    </row>
    <row r="29">
      <c r="A29" s="3" t="inlineStr">
        <is>
          <t>How to use this workbook</t>
        </is>
      </c>
    </row>
    <row r="30" ht="16.75" customHeight="1">
      <c r="A30" s="11" t="inlineStr">
        <is>
          <t>1. Run after the Seller test set, so the products, vouchers and sales on the Test Data sheet exist.</t>
        </is>
      </c>
    </row>
    <row r="31" ht="29.5" customHeight="1">
      <c r="A31"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32" ht="29.5" customHeight="1">
      <c r="A32" s="11" t="inlineStr">
        <is>
          <t>3. Check side effects, not just the screen: after each case, confirm the stock, order status, voucher usage, balances and the other roles' views named in the Expected Result. 'Nothing is saved' means the record is missing after a page refresh.</t>
        </is>
      </c>
    </row>
    <row r="33" ht="29.5" customHeight="1">
      <c r="A33" s="11" t="inlineStr">
        <is>
          <t>4. Error messages must appear next to the field (or at the top of the form) and say what is wrong and how to fix it. A generic 'Something went wrong', a blank page, or a 500 error is a Fail even when the action was correctly blocked.</t>
        </is>
      </c>
    </row>
    <row r="34" ht="29.5" customHeight="1">
      <c r="A34" s="11" t="inlineStr">
        <is>
          <t>5. For 'Error Guessing' security cases, a correct block shows a 403 page, a 'not found' page or a redirect, and shows NO data from the other user's record anywhere on the page.</t>
        </is>
      </c>
    </row>
    <row r="35" ht="29.5" customHeight="1">
      <c r="A35" s="11" t="inlineStr">
        <is>
          <t>6. Read the Assumptions sheet first. Rules A2 to A8 are the seven rules the module plan says must be agreed before testing; adjust any case whose rule differs from your system.</t>
        </is>
      </c>
    </row>
    <row r="36" ht="29.5" customHeight="1">
      <c r="A36" s="11" t="inlineStr">
        <is>
          <t>7. Seed the accounts, products, vouchers and shipping rates on the Test Data sheet before running the cases. Emails use example.com; read them from a mail catcher such as Mailtrap.</t>
        </is>
      </c>
    </row>
    <row r="37" ht="16.75" customHeight="1">
      <c r="A37" s="11" t="inlineStr">
        <is>
          <t>8. Test Case IDs follow &lt;ROLE&gt;-&lt;MODULE&gt;-&lt;NNN&gt;. Each module has positive, negative and boundary cases.</t>
        </is>
      </c>
    </row>
    <row r="38" ht="16.75" customHeight="1">
      <c r="A38" s="11" t="inlineStr">
        <is>
          <t>9. Fill in only the yellow cells: Actual Result, Status and Remarks. Pick the Status from the dropdown (Pass, Fail, Blocked, Not Run).</t>
        </is>
      </c>
    </row>
    <row r="39" ht="29.5" customHeight="1">
      <c r="A39" s="11" t="inlineStr">
        <is>
          <t>10. Pass = actual matches expected. Fail = it does not (describe what happened and add a screenshot or bug number in Remarks). Blocked = the case could not be run, for example because an earlier case failed.</t>
        </is>
      </c>
    </row>
    <row r="40" ht="16.75" customHeight="1">
      <c r="A40" s="11" t="inlineStr">
        <is>
          <t>11. The Results by module table above updates automatically from the Status column.</t>
        </is>
      </c>
    </row>
    <row r="42">
      <c r="A42" s="3" t="inlineStr">
        <is>
          <t>Black-box techniques used</t>
        </is>
      </c>
    </row>
    <row r="43">
      <c r="A43" s="4" t="inlineStr">
        <is>
          <t>Equivalence Partitioning</t>
        </is>
      </c>
      <c r="B43" s="8" t="inlineStr">
        <is>
          <t>Inputs are grouped into valid and invalid classes, and one value from each class is tested.</t>
        </is>
      </c>
      <c r="C43" s="12" t="n"/>
      <c r="D43" s="12" t="n"/>
      <c r="E43" s="12" t="n"/>
      <c r="F43" s="12" t="n"/>
      <c r="G43" s="13" t="n"/>
    </row>
    <row r="44">
      <c r="A44" s="4" t="inlineStr">
        <is>
          <t>Boundary Value Analysis</t>
        </is>
      </c>
      <c r="B44" s="8" t="inlineStr">
        <is>
          <t>Values at and just beyond a limit are tested, for example ₱0.99, ₱1.00 and ₱1.01 for a ₱1.00 minimum price.</t>
        </is>
      </c>
      <c r="C44" s="12" t="n"/>
      <c r="D44" s="12" t="n"/>
      <c r="E44" s="12" t="n"/>
      <c r="F44" s="12" t="n"/>
      <c r="G44" s="13" t="n"/>
    </row>
    <row r="45">
      <c r="A45" s="4" t="inlineStr">
        <is>
          <t>Decision Table</t>
        </is>
      </c>
      <c r="B45" s="8" t="inlineStr">
        <is>
          <t>Combinations of conditions are tested, for example which vouchers can stack.</t>
        </is>
      </c>
      <c r="C45" s="12" t="n"/>
      <c r="D45" s="12" t="n"/>
      <c r="E45" s="12" t="n"/>
      <c r="F45" s="12" t="n"/>
      <c r="G45" s="13" t="n"/>
    </row>
    <row r="46">
      <c r="A46" s="4" t="inlineStr">
        <is>
          <t>State Transition</t>
        </is>
      </c>
      <c r="B46" s="8" t="inlineStr">
        <is>
          <t>Changes in order or shipment status are tested, including transitions that must be blocked.</t>
        </is>
      </c>
      <c r="C46" s="12" t="n"/>
      <c r="D46" s="12" t="n"/>
      <c r="E46" s="12" t="n"/>
      <c r="F46" s="12" t="n"/>
      <c r="G46" s="13" t="n"/>
    </row>
    <row r="47">
      <c r="A47" s="4" t="inlineStr">
        <is>
          <t>Use Case Testing</t>
        </is>
      </c>
      <c r="B47" s="8" t="inlineStr">
        <is>
          <t>A complete user flow is tested from start to finish with valid data.</t>
        </is>
      </c>
      <c r="C47" s="12" t="n"/>
      <c r="D47" s="12" t="n"/>
      <c r="E47" s="12" t="n"/>
      <c r="F47" s="12" t="n"/>
      <c r="G47" s="13" t="n"/>
    </row>
    <row r="48">
      <c r="A48" s="4" t="inlineStr">
        <is>
          <t>Error Guessing</t>
        </is>
      </c>
      <c r="B48" s="8" t="inlineStr">
        <is>
          <t>Likely mistakes are tested based on experience, for example double-clicking Place Order or editing an ID in the URL.</t>
        </is>
      </c>
      <c r="C48" s="12" t="n"/>
      <c r="D48" s="12" t="n"/>
      <c r="E48" s="12" t="n"/>
      <c r="F48" s="12" t="n"/>
      <c r="G48" s="13" t="n"/>
    </row>
  </sheetData>
  <mergeCells count="17">
    <mergeCell ref="A32:G32"/>
    <mergeCell ref="A36:G36"/>
    <mergeCell ref="B47:G47"/>
    <mergeCell ref="B48:G48"/>
    <mergeCell ref="A40:G40"/>
    <mergeCell ref="B46:G46"/>
    <mergeCell ref="A31:G31"/>
    <mergeCell ref="A39:G39"/>
    <mergeCell ref="A34:G34"/>
    <mergeCell ref="A35:G35"/>
    <mergeCell ref="B45:G45"/>
    <mergeCell ref="A30:G30"/>
    <mergeCell ref="A38:G38"/>
    <mergeCell ref="B43:G43"/>
    <mergeCell ref="B44:G44"/>
    <mergeCell ref="A33:G33"/>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BUY-ACCT-001</t>
        </is>
      </c>
      <c r="B2" s="8" t="inlineStr">
        <is>
          <t>Account &amp; Security</t>
        </is>
      </c>
      <c r="C2" s="8" t="inlineStr">
        <is>
          <t>Edit profile with valid data</t>
        </is>
      </c>
      <c r="D2" s="8" t="inlineStr">
        <is>
          <t>Use Case Testing</t>
        </is>
      </c>
      <c r="E2" s="8" t="inlineStr">
        <is>
          <t>Medium</t>
        </is>
      </c>
      <c r="F2" s="8" t="inlineStr">
        <is>
          <t>Logged in as Buyer 1. My Profile is open.</t>
        </is>
      </c>
      <c r="G2" s="8" t="inlineStr">
        <is>
          <t>1. Change First Name to the test data and upload the photo.
2. Click Save.
3. Refresh, then log out and log back in.</t>
        </is>
      </c>
      <c r="H2" s="8" t="inlineStr">
        <is>
          <t>First Name: Juan Miguel Jr.
Photo: review_photo.jpg</t>
        </is>
      </c>
      <c r="I2" s="8" t="inlineStr">
        <is>
          <t>A success message is shown. After refresh and re-login the new name and photo are shown in the profile and the header. Email and phone are unchanged.</t>
        </is>
      </c>
      <c r="J2" s="8" t="inlineStr">
        <is>
          <t>A16</t>
        </is>
      </c>
      <c r="K2" s="5" t="inlineStr">
        <is>
          <t xml:space="preserve">Chrome/MySQL: saved Juan Miguel Jr. and photo; refresh/logout/login retained profile and header photo; email and phone unchanged.</t>
        </is>
      </c>
      <c r="L2" s="5" t="inlineStr">
        <is>
          <t xml:space="preserve">PASS</t>
        </is>
      </c>
      <c r="M2" s="5" t="inlineStr">
        <is>
          <t xml:space="preserve">Evidence: regression-final.xml: Tests.Feature.TeacherBuyerAccountTest::test_buy_acct_001_profile_is_immediate_photo_persists_and_contact_tampering_is_ignored; buyer-account-browser.json</t>
        </is>
      </c>
    </row>
    <row r="3" ht="67.75" customHeight="1">
      <c r="A3" s="7" t="inlineStr">
        <is>
          <t>BUY-ACCT-002</t>
        </is>
      </c>
      <c r="B3" s="8" t="inlineStr">
        <is>
          <t>Account &amp; Security</t>
        </is>
      </c>
      <c r="C3" s="8" t="inlineStr">
        <is>
          <t>Profile field validation</t>
        </is>
      </c>
      <c r="D3" s="8" t="inlineStr">
        <is>
          <t>Equivalence Partitioning</t>
        </is>
      </c>
      <c r="E3" s="8" t="inlineStr">
        <is>
          <t>Medium</t>
        </is>
      </c>
      <c r="F3" s="8" t="inlineStr">
        <is>
          <t>Logged in as Buyer 1. My Profile is open.</t>
        </is>
      </c>
      <c r="G3" s="8" t="inlineStr">
        <is>
          <t>1. Enter each value, one per attempt, and save.</t>
        </is>
      </c>
      <c r="H3" s="8" t="inlineStr">
        <is>
          <t>First Name: empty (reject)
First Name: Juan123 (reject)
First Name: J (reject)
Photo: size_5.1MB.jpg (reject)
Photo: renamed_exe.jpg (reject)</t>
        </is>
      </c>
      <c r="I3" s="8" t="inlineStr">
        <is>
          <t>Each is rejected with a field message; the saved profile is unchanged after refresh.</t>
        </is>
      </c>
      <c r="J3" s="8" t="inlineStr">
        <is>
          <t>A16</t>
        </is>
      </c>
      <c r="K3" s="5" t="inlineStr">
        <is>
          <t xml:space="preserve">Chrome/MySQL: empty, Juan123, J, 5.1 MB upload and renamed executable rejected; name and previous photo unchanged after refresh.</t>
        </is>
      </c>
      <c r="L3" s="5" t="inlineStr">
        <is>
          <t xml:space="preserve">PASS</t>
        </is>
      </c>
      <c r="M3" s="5" t="inlineStr">
        <is>
          <t xml:space="preserve">Evidence: regression-final.xml: Tests.Feature.TeacherBuyerAccountTest::test_buy_acct_002_each_invalid_profile_input_preserves_saved_profile; buyer-account-browser.json</t>
        </is>
      </c>
    </row>
    <row r="4" ht="67.75" customHeight="1">
      <c r="A4" s="7" t="inlineStr">
        <is>
          <t>BUY-ACCT-003</t>
        </is>
      </c>
      <c r="B4" s="8" t="inlineStr">
        <is>
          <t>Account &amp; Security</t>
        </is>
      </c>
      <c r="C4" s="8" t="inlineStr">
        <is>
          <t>Change password with the correct old password</t>
        </is>
      </c>
      <c r="D4" s="8" t="inlineStr">
        <is>
          <t>Use Case Testing</t>
        </is>
      </c>
      <c r="E4" s="8" t="inlineStr">
        <is>
          <t>High</t>
        </is>
      </c>
      <c r="F4" s="8" t="inlineStr">
        <is>
          <t>Logged in as Buyer 1.</t>
        </is>
      </c>
      <c r="G4" s="8" t="inlineStr">
        <is>
          <t>1. Open Change Password and enter the test data.
2. Save.
3. Log out. Log in with the old password.
4. Log in with the new password.</t>
        </is>
      </c>
      <c r="H4" s="8" t="inlineStr">
        <is>
          <t>Old: Mamimili@2026
New: Mamimili@2027
Confirm: Mamimili@2027</t>
        </is>
      </c>
      <c r="I4" s="8" t="inlineStr">
        <is>
          <t>Password changes with a success message. The old password is rejected; the new one works.</t>
        </is>
      </c>
      <c r="J4" s="8" t="inlineStr"/>
      <c r="K4" s="5" t="inlineStr">
        <is>
          <t xml:space="preserve">Chrome/MySQL: wrong old password rejected and old login retained; all seven specified invalid new passwords rejected with visible messages, old login retained; valid change succeeded, old login rejected and new login succeeded.</t>
        </is>
      </c>
      <c r="L4" s="5" t="inlineStr">
        <is>
          <t xml:space="preserve">PASS</t>
        </is>
      </c>
      <c r="M4" s="5" t="inlineStr">
        <is>
          <t xml:space="preserve">Evidence: regression-final.xml: Tests.Feature.TeacherValidationTest::test_buy_acct_003_correct_old_password_changes_password_and_rejects_old_login; buyer-account-browser.json</t>
        </is>
      </c>
    </row>
    <row r="5" ht="55" customHeight="1">
      <c r="A5" s="7" t="inlineStr">
        <is>
          <t>BUY-ACCT-004</t>
        </is>
      </c>
      <c r="B5" s="8" t="inlineStr">
        <is>
          <t>Account &amp; Security</t>
        </is>
      </c>
      <c r="C5" s="8" t="inlineStr">
        <is>
          <t>Change password with a wrong old password</t>
        </is>
      </c>
      <c r="D5" s="8" t="inlineStr">
        <is>
          <t>Equivalence Partitioning</t>
        </is>
      </c>
      <c r="E5" s="8" t="inlineStr">
        <is>
          <t>High</t>
        </is>
      </c>
      <c r="F5" s="8" t="inlineStr">
        <is>
          <t>Logged in as Buyer 1.</t>
        </is>
      </c>
      <c r="G5" s="8" t="inlineStr">
        <is>
          <t>1. Enter a wrong old password and a valid new one.
2. Save.
3. Log out and log in with Mamimili@2026.</t>
        </is>
      </c>
      <c r="H5" s="8" t="inlineStr">
        <is>
          <t>Old: Wrong@2026
New: Mamimili@2027</t>
        </is>
      </c>
      <c r="I5" s="8" t="inlineStr">
        <is>
          <t>Blocked with 'current password is incorrect'. The original password still works.</t>
        </is>
      </c>
      <c r="J5" s="8" t="inlineStr"/>
      <c r="K5" s="5" t="inlineStr">
        <is>
          <t xml:space="preserve">Chrome/MySQL: wrong old password rejected and old login retained; all seven specified invalid new passwords rejected with visible messages, old login retained; valid change succeeded, old login rejected and new login succeeded.</t>
        </is>
      </c>
      <c r="L5" s="5" t="inlineStr">
        <is>
          <t xml:space="preserve">PASS</t>
        </is>
      </c>
      <c r="M5" s="5" t="inlineStr">
        <is>
          <t xml:space="preserve">Evidence: regression-final.xml: Tests.Feature.TeacherValidationTest::test_buy_acct_004_wrong_old_password_never_changes_password; buyer-account-browser.json</t>
        </is>
      </c>
    </row>
    <row r="6" ht="106" customHeight="1">
      <c r="A6" s="7" t="inlineStr">
        <is>
          <t>BUY-ACCT-005</t>
        </is>
      </c>
      <c r="B6" s="8" t="inlineStr">
        <is>
          <t>Account &amp; Security</t>
        </is>
      </c>
      <c r="C6" s="8" t="inlineStr">
        <is>
          <t>New password breaks the rule</t>
        </is>
      </c>
      <c r="D6" s="8" t="inlineStr">
        <is>
          <t>Decision Table</t>
        </is>
      </c>
      <c r="E6" s="8" t="inlineStr">
        <is>
          <t>High</t>
        </is>
      </c>
      <c r="F6" s="8" t="inlineStr">
        <is>
          <t>Logged in as Buyer 1.</t>
        </is>
      </c>
      <c r="G6" s="8" t="inlineStr">
        <is>
          <t>1. Enter the correct old password and each new password, one per attempt.</t>
        </is>
      </c>
      <c r="H6" s="8" t="inlineStr">
        <is>
          <t>Mami@26 (7 characters)
mamimili@2027 (no uppercase)
MAMIMILI@2027 (no lowercase)
Mamimili@abcd (no number)
Mamimili2027 (no special)
Confirm: Mamimili@2028 (does not match)
New = old: Mamimili@2026</t>
        </is>
      </c>
      <c r="I6" s="8" t="inlineStr">
        <is>
          <t>Each is rejected with the specific rule that failed. The password is unchanged.</t>
        </is>
      </c>
      <c r="J6" s="8" t="inlineStr"/>
      <c r="K6" s="5" t="inlineStr">
        <is>
          <t xml:space="preserve">Chrome/MySQL: wrong old password rejected and old login retained; all seven specified invalid new passwords rejected with visible messages, old login retained; valid change succeeded, old login rejected and new login succeeded.</t>
        </is>
      </c>
      <c r="L6" s="5" t="inlineStr">
        <is>
          <t xml:space="preserve">PASS</t>
        </is>
      </c>
      <c r="M6" s="5" t="inlineStr">
        <is>
          <t xml:space="preserve">Evidence: regression-final.xml: Tests.Feature.TeacherValidationTest::test_buy_acct_005_all_invalid_new_passwords_leave_hash_unchanged; buyer-account-browser.json</t>
        </is>
      </c>
    </row>
    <row r="7" ht="67.75" customHeight="1">
      <c r="A7" s="7" t="inlineStr">
        <is>
          <t>BUY-ACCT-006</t>
        </is>
      </c>
      <c r="B7" s="8" t="inlineStr">
        <is>
          <t>Account &amp; Security</t>
        </is>
      </c>
      <c r="C7" s="8" t="inlineStr">
        <is>
          <t>Change email with verification</t>
        </is>
      </c>
      <c r="D7" s="8" t="inlineStr">
        <is>
          <t>State Transition</t>
        </is>
      </c>
      <c r="E7" s="8" t="inlineStr">
        <is>
          <t>High</t>
        </is>
      </c>
      <c r="F7" s="8" t="inlineStr">
        <is>
          <t>Logged in as Buyer 1.</t>
        </is>
      </c>
      <c r="G7" s="8" t="inlineStr">
        <is>
          <t>1. Change the email to the spare email.
2. Before entering the OTP, log out and log in with the old email.
3. Enter the OTP from the new email.
4. Log out and log in with each email.</t>
        </is>
      </c>
      <c r="H7" s="8" t="inlineStr">
        <is>
          <t>New email: buyer.test01@example.com</t>
        </is>
      </c>
      <c r="I7" s="8" t="inlineStr">
        <is>
          <t>Before verification the old email still logs in and the profile still shows it. After the correct OTP, only the new email logs in; the old one is rejected.</t>
        </is>
      </c>
      <c r="J7" s="8" t="inlineStr"/>
      <c r="K7" s="5" t="inlineStr">
        <is>
          <t xml:space="preserve">Chrome/MySQL: old email logged in while change pending; logged code verified new email; old login rejected, new login succeeded. Local mail transport only; external delivery unverified.</t>
        </is>
      </c>
      <c r="L7" s="5" t="inlineStr">
        <is>
          <t xml:space="preserve">PASS</t>
        </is>
      </c>
      <c r="M7" s="5" t="inlineStr">
        <is>
          <t xml:space="preserve">Evidence: regression-final.xml: Tests.Feature.TeacherBuyerAccountTest::test_buy_acct_006_old_email_works_until_verification_then_only_new_email_works; buyer-account-browser.json</t>
        </is>
      </c>
    </row>
    <row r="8" ht="55" customHeight="1">
      <c r="A8" s="7" t="inlineStr">
        <is>
          <t>BUY-ACCT-007</t>
        </is>
      </c>
      <c r="B8" s="8" t="inlineStr">
        <is>
          <t>Account &amp; Security</t>
        </is>
      </c>
      <c r="C8" s="8" t="inlineStr">
        <is>
          <t>Change email: wrong or expired OTP</t>
        </is>
      </c>
      <c r="D8" s="8" t="inlineStr">
        <is>
          <t>Boundary Value Analysis</t>
        </is>
      </c>
      <c r="E8" s="8" t="inlineStr">
        <is>
          <t>Medium</t>
        </is>
      </c>
      <c r="F8" s="8" t="inlineStr">
        <is>
          <t>Logged in as Buyer 1.</t>
        </is>
      </c>
      <c r="G8" s="8" t="inlineStr">
        <is>
          <t>1. Request the change and enter a wrong OTP.
2. Wait 5 minutes and enter the correct (now expired) OTP.</t>
        </is>
      </c>
      <c r="H8" s="8" t="inlineStr">
        <is>
          <t>Wrong OTP: 000000</t>
        </is>
      </c>
      <c r="I8" s="8" t="inlineStr">
        <is>
          <t>Both are rejected. The email is not changed.</t>
        </is>
      </c>
      <c r="J8" s="8" t="inlineStr"/>
      <c r="K8" s="5" t="inlineStr">
        <is>
          <t xml:space="preserve">Chrome/MySQL: wrong code and correct-but-expired token rejected without changing email. Audit fixture expired the token; PHP controlled-clock test verifies five-minute expiry.</t>
        </is>
      </c>
      <c r="L8" s="5" t="inlineStr">
        <is>
          <t xml:space="preserve">PASS</t>
        </is>
      </c>
      <c r="M8" s="5" t="inlineStr">
        <is>
          <t xml:space="preserve">Evidence: regression-final.xml: Tests.Feature.TeacherBuyerAccountTest::test_buy_acct_007_wrong_and_expired_code_cannot_change_email_and_resend_invalidates_old_code; buyer-account-browser.json</t>
        </is>
      </c>
    </row>
    <row r="9" ht="42.25" customHeight="1">
      <c r="A9" s="7" t="inlineStr">
        <is>
          <t>BUY-ACCT-008</t>
        </is>
      </c>
      <c r="B9" s="8" t="inlineStr">
        <is>
          <t>Account &amp; Security</t>
        </is>
      </c>
      <c r="C9" s="8" t="inlineStr">
        <is>
          <t>Change email to one already used</t>
        </is>
      </c>
      <c r="D9" s="8" t="inlineStr">
        <is>
          <t>Equivalence Partitioning</t>
        </is>
      </c>
      <c r="E9" s="8" t="inlineStr">
        <is>
          <t>Medium</t>
        </is>
      </c>
      <c r="F9" s="8" t="inlineStr">
        <is>
          <t>Logged in as Buyer 1.</t>
        </is>
      </c>
      <c r="G9" s="8" t="inlineStr">
        <is>
          <t>1. Change the email to each value.</t>
        </is>
      </c>
      <c r="H9" s="8" t="inlineStr">
        <is>
          <t>anamarie.reyes@example.com
MARIACLARA.SANTOS@example.com (seller, different case)</t>
        </is>
      </c>
      <c r="I9" s="8" t="inlineStr">
        <is>
          <t>Both are blocked with 'email already in use' and no OTP is sent.</t>
        </is>
      </c>
      <c r="J9" s="8" t="inlineStr"/>
      <c r="K9" s="5" t="inlineStr">
        <is>
          <t xml:space="preserve">Chrome/MySQL: both duplicate emails (cross-role/case) and invalid/duplicate phones rejected without sending code; valid phone saved only after logged email OTP. External email delivery unverified.</t>
        </is>
      </c>
      <c r="L9" s="5" t="inlineStr">
        <is>
          <t xml:space="preserve">PASS</t>
        </is>
      </c>
      <c r="M9" s="5" t="inlineStr">
        <is>
          <t xml:space="preserve">Evidence: regression-final.xml: Tests.Feature.TeacherBuyerAccountTest::test_buy_acct_008_duplicate_emails_across_roles_and_case_send_no_code; buyer-account-browser.json</t>
        </is>
      </c>
    </row>
    <row r="10" ht="42.25" customHeight="1">
      <c r="A10" s="7" t="inlineStr">
        <is>
          <t>BUY-ACCT-009</t>
        </is>
      </c>
      <c r="B10" s="8" t="inlineStr">
        <is>
          <t>Account &amp; Security</t>
        </is>
      </c>
      <c r="C10" s="8" t="inlineStr">
        <is>
          <t>Change phone with verification and format</t>
        </is>
      </c>
      <c r="D10" s="8" t="inlineStr">
        <is>
          <t>State Transition</t>
        </is>
      </c>
      <c r="E10" s="8" t="inlineStr">
        <is>
          <t>Medium</t>
        </is>
      </c>
      <c r="F10" s="8" t="inlineStr">
        <is>
          <t>Logged in as Buyer 1.</t>
        </is>
      </c>
      <c r="G10" s="8" t="inlineStr">
        <is>
          <t>1. Change the phone to each value; complete the OTP for the valid one.</t>
        </is>
      </c>
      <c r="H10" s="8" t="inlineStr">
        <is>
          <t>0917123 (reject)
09173456789 (Buyer 2's, reject)
09170000001 (accept after OTP)</t>
        </is>
      </c>
      <c r="I10" s="8" t="inlineStr">
        <is>
          <t>Invalid and duplicate numbers are rejected without an OTP. The valid number is saved only after verification.</t>
        </is>
      </c>
      <c r="J10" s="8" t="inlineStr"/>
      <c r="K10" s="5" t="inlineStr">
        <is>
          <t xml:space="preserve">Chrome/MySQL: both duplicate emails (cross-role/case) and invalid/duplicate phones rejected without sending code; valid phone saved only after logged email OTP. External email delivery unverified.</t>
        </is>
      </c>
      <c r="L10" s="5" t="inlineStr">
        <is>
          <t xml:space="preserve">PASS</t>
        </is>
      </c>
      <c r="M10" s="5" t="inlineStr">
        <is>
          <t xml:space="preserve">Evidence: regression-final.xml: Tests.Feature.TeacherBuyerAccountTest::test_buy_acct_009_phone_is_normalized_unique_and_saved_only_after_code; buyer-account-browser.json</t>
        </is>
      </c>
    </row>
  </sheetData>
  <autoFilter ref="A1:M10"/>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BUY-ADDR-001</t>
        </is>
      </c>
      <c r="B2" s="8" t="inlineStr">
        <is>
          <t>Address Book</t>
        </is>
      </c>
      <c r="C2" s="8" t="inlineStr">
        <is>
          <t>Add an address with valid data</t>
        </is>
      </c>
      <c r="D2" s="8" t="inlineStr">
        <is>
          <t>Use Case Testing</t>
        </is>
      </c>
      <c r="E2" s="8" t="inlineStr">
        <is>
          <t>High</t>
        </is>
      </c>
      <c r="F2" s="8" t="inlineStr">
        <is>
          <t>Logged in as Buyer 1. Address Book is open with ADDR-1 only.</t>
        </is>
      </c>
      <c r="G2" s="8" t="inlineStr">
        <is>
          <t>1. Click Add Address.
2. Select Region, Province, City and Barangay in order.
3. Fill in street, recipient and phone.
4. Save and refresh.</t>
        </is>
      </c>
      <c r="H2" s="8" t="inlineStr">
        <is>
          <t>ADDR-2 (Makati office)</t>
        </is>
      </c>
      <c r="I2" s="8" t="inlineStr">
        <is>
          <t>ADDR-2 is listed with exactly the entered values and is not default. ADDR-1 is still default.</t>
        </is>
      </c>
      <c r="J2" s="8" t="inlineStr">
        <is>
          <t>A30</t>
        </is>
      </c>
      <c r="K2" s="5" t="inlineStr">
        <is>
          <t xml:space="preserve">Chrome/MySQL with bundled PSGC data: NCR contains Makati and no Cebu; Makati contains Bel-Air; changing to Region VII clears city/barangay. Saved office with all exact fields; original home remains sole default.</t>
        </is>
      </c>
      <c r="L2" s="5" t="inlineStr">
        <is>
          <t xml:space="preserve">PASS</t>
        </is>
      </c>
      <c r="M2" s="5" t="inlineStr">
        <is>
          <t xml:space="preserve">Evidence: regression-final.xml: Tests.Feature.TeacherBuyerAccountTest::test_buy_addr_001_second_address_keeps_original_default_and_all_values; buyer-account-browser.json</t>
        </is>
      </c>
    </row>
    <row r="3" ht="42.25" customHeight="1">
      <c r="A3" s="7" t="inlineStr">
        <is>
          <t>BUY-ADDR-002</t>
        </is>
      </c>
      <c r="B3" s="8" t="inlineStr">
        <is>
          <t>Address Book</t>
        </is>
      </c>
      <c r="C3" s="8" t="inlineStr">
        <is>
          <t>Region → city → barangay cascade</t>
        </is>
      </c>
      <c r="D3" s="8" t="inlineStr">
        <is>
          <t>Equivalence Partitioning</t>
        </is>
      </c>
      <c r="E3" s="8" t="inlineStr">
        <is>
          <t>High</t>
        </is>
      </c>
      <c r="F3" s="8" t="inlineStr">
        <is>
          <t>Logged in as Buyer 1.</t>
        </is>
      </c>
      <c r="G3" s="8" t="inlineStr">
        <is>
          <t>1. Select NCR; open the City list.
2. Select Makati; open the Barangay list.
3. Change Region to Region VII.</t>
        </is>
      </c>
      <c r="H3" s="8" t="inlineStr"/>
      <c r="I3" s="8" t="inlineStr">
        <is>
          <t>Each list shows only places under the one above (no Cebu cities under NCR). Changing Region clears City and Barangay.</t>
        </is>
      </c>
      <c r="J3" s="8" t="inlineStr"/>
      <c r="K3" s="5" t="inlineStr">
        <is>
          <t xml:space="preserve">Chrome/MySQL with bundled PSGC data: NCR contains Makati and no Cebu; Makati contains Bel-Air; changing to Region VII clears city/barangay. Saved office with all exact fields; original home remains sole default.</t>
        </is>
      </c>
      <c r="L3" s="5" t="inlineStr">
        <is>
          <t xml:space="preserve">PASS</t>
        </is>
      </c>
      <c r="M3" s="5" t="inlineStr">
        <is>
          <t xml:space="preserve">Evidence: regression-final.xml: Tests.Feature.TeacherLocationTest::test_buy_addr_002_local_geographic_lists_scope_cities_and_barangays_to_their_parent; buyer-account-browser.json</t>
        </is>
      </c>
    </row>
    <row r="4" ht="29.5" customHeight="1">
      <c r="A4" s="7" t="inlineStr">
        <is>
          <t>BUY-ADDR-003</t>
        </is>
      </c>
      <c r="B4" s="8" t="inlineStr">
        <is>
          <t>Address Book</t>
        </is>
      </c>
      <c r="C4" s="8" t="inlineStr">
        <is>
          <t>Each required field left blank</t>
        </is>
      </c>
      <c r="D4" s="8" t="inlineStr">
        <is>
          <t>Equivalence Partitioning</t>
        </is>
      </c>
      <c r="E4" s="8" t="inlineStr">
        <is>
          <t>High</t>
        </is>
      </c>
      <c r="F4" s="8" t="inlineStr">
        <is>
          <t>Logged in as Buyer 1.</t>
        </is>
      </c>
      <c r="G4" s="8" t="inlineStr">
        <is>
          <t>1. Fill in all fields, clear one and save; repeat for each.</t>
        </is>
      </c>
      <c r="H4" s="8" t="inlineStr">
        <is>
          <t>Clear in turn: Recipient, Phone, Region, City, Barangay, Street</t>
        </is>
      </c>
      <c r="I4" s="8" t="inlineStr">
        <is>
          <t>Each attempt is blocked with a message on the blank field. No address is added.</t>
        </is>
      </c>
      <c r="J4" s="8" t="inlineStr"/>
      <c r="K4" s="5" t="inlineStr">
        <is>
          <t xml:space="preserve">Chrome/MySQL: each of six required controls rejects blank values; invalid short/long phones cannot submit; both local and +63 formats saved. PHP additionally submits all blank fields directly and confirms zero writes.</t>
        </is>
      </c>
      <c r="L4" s="5" t="inlineStr">
        <is>
          <t xml:space="preserve">PASS</t>
        </is>
      </c>
      <c r="M4" s="5" t="inlineStr">
        <is>
          <t xml:space="preserve">Evidence: regression-final.xml: Tests.Feature.TeacherBuyerAccountTest::test_buy_addr_003_each_required_field_blocks_without_creating_address; buyer-account-browser.json</t>
        </is>
      </c>
    </row>
    <row r="5" ht="55" customHeight="1">
      <c r="A5" s="7" t="inlineStr">
        <is>
          <t>BUY-ADDR-004</t>
        </is>
      </c>
      <c r="B5" s="8" t="inlineStr">
        <is>
          <t>Address Book</t>
        </is>
      </c>
      <c r="C5" s="8" t="inlineStr">
        <is>
          <t>Phone number format</t>
        </is>
      </c>
      <c r="D5" s="8" t="inlineStr">
        <is>
          <t>Equivalence Partitioning</t>
        </is>
      </c>
      <c r="E5" s="8" t="inlineStr">
        <is>
          <t>Medium</t>
        </is>
      </c>
      <c r="F5" s="8" t="inlineStr">
        <is>
          <t>Logged in as Buyer 1.</t>
        </is>
      </c>
      <c r="G5" s="8" t="inlineStr">
        <is>
          <t>1. Enter each phone number and save.</t>
        </is>
      </c>
      <c r="H5" s="8" t="inlineStr">
        <is>
          <t>0917123 (reject)
091712345678 (reject)
09171234567 (accept)
+639171234567 (accept)</t>
        </is>
      </c>
      <c r="I5" s="8" t="inlineStr">
        <is>
          <t>Only the two valid formats save.</t>
        </is>
      </c>
      <c r="J5" s="8" t="inlineStr"/>
      <c r="K5" s="5" t="inlineStr">
        <is>
          <t xml:space="preserve">Chrome/MySQL: each of six required controls rejects blank values; invalid short/long phones cannot submit; both local and +63 formats saved. PHP additionally submits all blank fields directly and confirms zero writes.</t>
        </is>
      </c>
      <c r="L5" s="5" t="inlineStr">
        <is>
          <t xml:space="preserve">PASS</t>
        </is>
      </c>
      <c r="M5" s="5" t="inlineStr">
        <is>
          <t xml:space="preserve">Evidence: regression-final.xml: Tests.Feature.TeacherBuyerAccountTest::test_buy_addr_004_only_valid_local_and_international_phone_formats_save; buyer-account-browser.json</t>
        </is>
      </c>
    </row>
    <row r="6" ht="29.5" customHeight="1">
      <c r="A6" s="7" t="inlineStr">
        <is>
          <t>BUY-ADDR-005</t>
        </is>
      </c>
      <c r="B6" s="8" t="inlineStr">
        <is>
          <t>Address Book</t>
        </is>
      </c>
      <c r="C6" s="8" t="inlineStr">
        <is>
          <t>Address book limit</t>
        </is>
      </c>
      <c r="D6" s="8" t="inlineStr">
        <is>
          <t>Boundary Value Analysis</t>
        </is>
      </c>
      <c r="E6" s="8" t="inlineStr">
        <is>
          <t>Low</t>
        </is>
      </c>
      <c r="F6" s="8" t="inlineStr">
        <is>
          <t>Logged in as Buyer 1. 9 addresses exist.</t>
        </is>
      </c>
      <c r="G6" s="8" t="inlineStr">
        <is>
          <t>1. Add a 10th.
2. Try an 11th.</t>
        </is>
      </c>
      <c r="H6" s="8" t="inlineStr"/>
      <c r="I6" s="8" t="inlineStr">
        <is>
          <t>The 10th saves. The 11th is blocked with a limit message.</t>
        </is>
      </c>
      <c r="J6" s="8" t="inlineStr">
        <is>
          <t>A30</t>
        </is>
      </c>
      <c r="K6" s="5" t="inlineStr">
        <is>
          <t xml:space="preserve">Chrome/MySQL: prepared nine fictional addresses; tenth saved using form; eleventh blocked with explicit limit message, count remained ten.</t>
        </is>
      </c>
      <c r="L6" s="5" t="inlineStr">
        <is>
          <t xml:space="preserve">PASS</t>
        </is>
      </c>
      <c r="M6" s="5" t="inlineStr">
        <is>
          <t xml:space="preserve">Evidence: regression-final.xml: Tests.Feature.TeacherValidationTest::test_buy_addr_005_tenth_address_saves_but_eleventh_does_not; buyer-account-browser.json</t>
        </is>
      </c>
    </row>
    <row r="7" ht="29.5" customHeight="1">
      <c r="A7" s="7" t="inlineStr">
        <is>
          <t>BUY-ADDR-006</t>
        </is>
      </c>
      <c r="B7" s="8" t="inlineStr">
        <is>
          <t>Address Book</t>
        </is>
      </c>
      <c r="C7" s="8" t="inlineStr">
        <is>
          <t>Set a different default address</t>
        </is>
      </c>
      <c r="D7" s="8" t="inlineStr">
        <is>
          <t>State Transition</t>
        </is>
      </c>
      <c r="E7" s="8" t="inlineStr">
        <is>
          <t>Medium</t>
        </is>
      </c>
      <c r="F7" s="8" t="inlineStr">
        <is>
          <t>Logged in as Buyer 1.</t>
        </is>
      </c>
      <c r="G7" s="8" t="inlineStr">
        <is>
          <t>1. Set ADDR-2 as default.
2. Open checkout.</t>
        </is>
      </c>
      <c r="H7" s="8" t="inlineStr">
        <is>
          <t>ADDR-2</t>
        </is>
      </c>
      <c r="I7" s="8" t="inlineStr">
        <is>
          <t>Only ADDR-2 shows Default and checkout pre-selects it.</t>
        </is>
      </c>
      <c r="J7" s="8" t="inlineStr">
        <is>
          <t>A30</t>
        </is>
      </c>
      <c r="K7" s="5" t="inlineStr">
        <is>
          <t xml:space="preserve">Chrome/MySQL: deleting default returns choose-another-default message; changed default, checked checkout radio preselection and sole-default invariant; previous default then deleted successfully.</t>
        </is>
      </c>
      <c r="L7" s="5" t="inlineStr">
        <is>
          <t xml:space="preserve">PASS</t>
        </is>
      </c>
      <c r="M7" s="5" t="inlineStr">
        <is>
          <t xml:space="preserve">Evidence: regression-final.xml: Tests.Feature.TeacherValidationTest::test_buy_addr_006_only_selected_address_becomes_default_and_old_default_can_be_deleted; buyer-account-browser.json</t>
        </is>
      </c>
    </row>
    <row r="8" ht="42.25" customHeight="1">
      <c r="A8" s="7" t="inlineStr">
        <is>
          <t>BUY-ADDR-007</t>
        </is>
      </c>
      <c r="B8" s="8" t="inlineStr">
        <is>
          <t>Address Book</t>
        </is>
      </c>
      <c r="C8" s="8" t="inlineStr">
        <is>
          <t>Delete the default address</t>
        </is>
      </c>
      <c r="D8" s="8" t="inlineStr">
        <is>
          <t>State Transition</t>
        </is>
      </c>
      <c r="E8" s="8" t="inlineStr">
        <is>
          <t>High</t>
        </is>
      </c>
      <c r="F8" s="8" t="inlineStr">
        <is>
          <t>Logged in as Buyer 1. ADDR-1 is default; ADDR-2 exists.</t>
        </is>
      </c>
      <c r="G8" s="8" t="inlineStr">
        <is>
          <t>1. Try to delete ADDR-1.
2. Set ADDR-2 as default, then delete ADDR-1.</t>
        </is>
      </c>
      <c r="H8" s="8" t="inlineStr"/>
      <c r="I8" s="8" t="inlineStr">
        <is>
          <t>The first attempt is blocked with a message to choose another default first. The second succeeds. There is always exactly one default.</t>
        </is>
      </c>
      <c r="J8" s="8" t="inlineStr">
        <is>
          <t>A30</t>
        </is>
      </c>
      <c r="K8" s="5" t="inlineStr">
        <is>
          <t xml:space="preserve">Chrome/MySQL: deleting default returns choose-another-default message; changed default, checked checkout radio preselection and sole-default invariant; previous default then deleted successfully.</t>
        </is>
      </c>
      <c r="L8" s="5" t="inlineStr">
        <is>
          <t xml:space="preserve">PASS</t>
        </is>
      </c>
      <c r="M8" s="5" t="inlineStr">
        <is>
          <t xml:space="preserve">Evidence: regression-final.xml: Tests.Feature.TeacherValidationTest::test_buy_addr_007_default_cannot_be_deleted; buyer-account-browser.json</t>
        </is>
      </c>
    </row>
    <row r="9" ht="55" customHeight="1">
      <c r="A9" s="7" t="inlineStr">
        <is>
          <t>BUY-ADDR-008</t>
        </is>
      </c>
      <c r="B9" s="8" t="inlineStr">
        <is>
          <t>Address Book</t>
        </is>
      </c>
      <c r="C9" s="8" t="inlineStr">
        <is>
          <t>Edit or delete an address used by an active order</t>
        </is>
      </c>
      <c r="D9" s="8" t="inlineStr">
        <is>
          <t>Error Guessing</t>
        </is>
      </c>
      <c r="E9" s="8" t="inlineStr">
        <is>
          <t>High</t>
        </is>
      </c>
      <c r="F9" s="8" t="inlineStr">
        <is>
          <t>Logged in as Buyer 1. A To Ship order uses ADDR-2.</t>
        </is>
      </c>
      <c r="G9" s="8" t="inlineStr">
        <is>
          <t>1. Change ADDR-2's street, then delete ADDR-2.
2. Open the order as Buyer 1 and Seller 1, and print the waybill.</t>
        </is>
      </c>
      <c r="H9" s="8" t="inlineStr">
        <is>
          <t>Street: 14F Pacific Tower</t>
        </is>
      </c>
      <c r="I9" s="8" t="inlineStr">
        <is>
          <t>The order, the seller's view and the waybill still show the original ADDR-2 exactly.</t>
        </is>
      </c>
      <c r="J9" s="8" t="inlineStr">
        <is>
          <t>A30</t>
        </is>
      </c>
      <c r="K9" s="5" t="inlineStr">
        <is>
          <t xml:space="preserve">Chrome/MySQL: saved address edited then deleted; existing order snapshot, buyer view, seller view and printed waybill retained original street and recipient phone. Printed PDF retained.</t>
        </is>
      </c>
      <c r="L9" s="5" t="inlineStr">
        <is>
          <t xml:space="preserve">PASS</t>
        </is>
      </c>
      <c r="M9" s="5" t="inlineStr">
        <is>
          <t xml:space="preserve">Evidence: regression-final.xml: Tests.Feature.TeacherBuyerAccountTest::test_buy_addr_008_edit_and_delete_never_modify_an_existing_order_snapshot; buyer-account-browser.json</t>
        </is>
      </c>
    </row>
    <row r="10" ht="29.5" customHeight="1">
      <c r="A10" s="7" t="inlineStr">
        <is>
          <t>BUY-ADDR-009</t>
        </is>
      </c>
      <c r="B10" s="8" t="inlineStr">
        <is>
          <t>Address Book</t>
        </is>
      </c>
      <c r="C10" s="8" t="inlineStr">
        <is>
          <t>Cannot open another buyer's address</t>
        </is>
      </c>
      <c r="D10" s="8" t="inlineStr">
        <is>
          <t>Error Guessing</t>
        </is>
      </c>
      <c r="E10" s="8" t="inlineStr">
        <is>
          <t>High</t>
        </is>
      </c>
      <c r="F10" s="8" t="inlineStr">
        <is>
          <t>Logged in as Buyer 1.</t>
        </is>
      </c>
      <c r="G10" s="8" t="inlineStr">
        <is>
          <t>1. Open Edit on ADDR-1 and change the address ID in the URL to ADDR-3's (Buyer 2).</t>
        </is>
      </c>
      <c r="H10" s="8" t="inlineStr"/>
      <c r="I10" s="8" t="inlineStr">
        <is>
          <t>Access is denied. No part of ADDR-3 is shown.</t>
        </is>
      </c>
      <c r="J10" s="8" t="inlineStr">
        <is>
          <t>A22</t>
        </is>
      </c>
      <c r="K10" s="5" t="inlineStr">
        <is>
          <t xml:space="preserve">Authenticated browser requested another buyer address ID: HTTP 403 with no foreign address text. HTTP suite also verifies writes are denied.</t>
        </is>
      </c>
      <c r="L10" s="5" t="inlineStr">
        <is>
          <t xml:space="preserve">PASS</t>
        </is>
      </c>
      <c r="M10" s="5" t="inlineStr">
        <is>
          <t xml:space="preserve">Evidence: regression-final.xml: Tests.Feature.TeacherBuyerAccountTest::test_buy_addr_009_foreign_address_cannot_be_read_or_edited; regression-final.xml: Tests.Feature.TeacherValidationTest::test_buy_addr_009_foreign_address_cannot_be_deleted; buyer-account-browser.json</t>
        </is>
      </c>
    </row>
  </sheetData>
  <autoFilter ref="A1:M10"/>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BUY-SRCH-001</t>
        </is>
      </c>
      <c r="B2" s="8" t="inlineStr">
        <is>
          <t>Browse, Search &amp; Filter</t>
        </is>
      </c>
      <c r="C2" s="8" t="inlineStr">
        <is>
          <t>Browse a platform category</t>
        </is>
      </c>
      <c r="D2" s="8" t="inlineStr">
        <is>
          <t>Use Case Testing</t>
        </is>
      </c>
      <c r="E2" s="8" t="inlineStr">
        <is>
          <t>Medium</t>
        </is>
      </c>
      <c r="F2" s="8" t="inlineStr">
        <is>
          <t>Logged in as Buyer 1.</t>
        </is>
      </c>
      <c r="G2" s="8" t="inlineStr">
        <is>
          <t>1. Open the platform category Home &amp; Living.</t>
        </is>
      </c>
      <c r="H2" s="8" t="inlineStr"/>
      <c r="I2" s="8" t="inlineStr">
        <is>
          <t>Every Active product in Home &amp; Living is listed, including P-02. No product from other categories appears.</t>
        </is>
      </c>
      <c r="J2" s="8" t="inlineStr"/>
      <c r="K2" s="5" t="inlineStr">
        <is>
          <t xml:space="preserve">Chrome/MySQL: browsed every page of Home &amp; Living; visible IDs exactly match all active fixture products in that category, including P-02; other-category and inactive/draft items excluded.</t>
        </is>
      </c>
      <c r="L2" s="5" t="inlineStr">
        <is>
          <t xml:space="preserve">PASS</t>
        </is>
      </c>
      <c r="M2" s="5" t="inlineStr">
        <is>
          <t xml:space="preserve">Evidence: search-browser.json</t>
        </is>
      </c>
    </row>
    <row r="3" ht="29.5" customHeight="1">
      <c r="A3" s="7" t="inlineStr">
        <is>
          <t>BUY-SRCH-002</t>
        </is>
      </c>
      <c r="B3" s="8" t="inlineStr">
        <is>
          <t>Browse, Search &amp; Filter</t>
        </is>
      </c>
      <c r="C3" s="8" t="inlineStr">
        <is>
          <t>Store page with store categories</t>
        </is>
      </c>
      <c r="D3" s="8" t="inlineStr">
        <is>
          <t>Use Case Testing</t>
        </is>
      </c>
      <c r="E3" s="8" t="inlineStr">
        <is>
          <t>Medium</t>
        </is>
      </c>
      <c r="F3" s="8" t="inlineStr">
        <is>
          <t>Logged in as Buyer 1.</t>
        </is>
      </c>
      <c r="G3" s="8" t="inlineStr">
        <is>
          <t>1. Open Seller 1's store page.
2. Click Home Decor, then Lamps.</t>
        </is>
      </c>
      <c r="H3" s="8" t="inlineStr"/>
      <c r="I3" s="8" t="inlineStr">
        <is>
          <t>Store categories match CAT-1 to CAT-5. Lamps shows P-03 only.</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55" customHeight="1">
      <c r="A4" s="7" t="inlineStr">
        <is>
          <t>BUY-SRCH-003</t>
        </is>
      </c>
      <c r="B4" s="8" t="inlineStr">
        <is>
          <t>Browse, Search &amp; Filter</t>
        </is>
      </c>
      <c r="C4" s="8" t="inlineStr">
        <is>
          <t>Search: exact and partial match</t>
        </is>
      </c>
      <c r="D4" s="8" t="inlineStr">
        <is>
          <t>Equivalence Partitioning</t>
        </is>
      </c>
      <c r="E4" s="8" t="inlineStr">
        <is>
          <t>High</t>
        </is>
      </c>
      <c r="F4" s="8" t="inlineStr">
        <is>
          <t>Logged in as Buyer 1.</t>
        </is>
      </c>
      <c r="G4" s="8" t="inlineStr">
        <is>
          <t>1. Search each term.</t>
        </is>
      </c>
      <c r="H4" s="8" t="inlineStr">
        <is>
          <t>Rattan Fruit Basket
rattan
RATTAN
'  rattan  '</t>
        </is>
      </c>
      <c r="I4" s="8" t="inlineStr">
        <is>
          <t>P-02 appears for all four terms (case and outer spaces do not matter).</t>
        </is>
      </c>
      <c r="J4" s="8" t="inlineStr"/>
      <c r="K4" s="5" t="inlineStr">
        <is>
          <t xml:space="preserve">Chrome/MySQL: exact, partial, uppercase and padded workbook searches all returned Rattan Fruit Basket.</t>
        </is>
      </c>
      <c r="L4" s="5" t="inlineStr">
        <is>
          <t xml:space="preserve">PASS</t>
        </is>
      </c>
      <c r="M4" s="5" t="inlineStr">
        <is>
          <t xml:space="preserve">Evidence: search-browser.json</t>
        </is>
      </c>
    </row>
    <row r="5" ht="42.25" customHeight="1">
      <c r="A5" s="7" t="inlineStr">
        <is>
          <t>BUY-SRCH-004</t>
        </is>
      </c>
      <c r="B5" s="8" t="inlineStr">
        <is>
          <t>Browse, Search &amp; Filter</t>
        </is>
      </c>
      <c r="C5" s="8" t="inlineStr">
        <is>
          <t>Search: typo and no results</t>
        </is>
      </c>
      <c r="D5" s="8" t="inlineStr">
        <is>
          <t>Equivalence Partitioning</t>
        </is>
      </c>
      <c r="E5" s="8" t="inlineStr">
        <is>
          <t>Medium</t>
        </is>
      </c>
      <c r="F5" s="8" t="inlineStr">
        <is>
          <t>Logged in as Buyer 1.</t>
        </is>
      </c>
      <c r="G5" s="8" t="inlineStr">
        <is>
          <t>1. Search each term.</t>
        </is>
      </c>
      <c r="H5" s="8" t="inlineStr">
        <is>
          <t>Ratan baskit
zzqxw</t>
        </is>
      </c>
      <c r="I5" s="8" t="inlineStr">
        <is>
          <t>The typo returns P-02 or a 'Did you mean rattan basket?' suggestion. zzqxw shows a clear 'no results' state, not an error.</t>
        </is>
      </c>
      <c r="J5" s="8" t="inlineStr"/>
      <c r="K5" s="5" t="inlineStr">
        <is>
          <t xml:space="preserve">Chrome/MySQL: typo produced a usable Rattan Fruit Basket suggestion; following it found P-02; zzqxw returned a clear empty state with HTTP 200.</t>
        </is>
      </c>
      <c r="L5" s="5" t="inlineStr">
        <is>
          <t xml:space="preserve">PASS</t>
        </is>
      </c>
      <c r="M5" s="5" t="inlineStr">
        <is>
          <t xml:space="preserve">Evidence: regression-final.xml: Tests.Feature.TeacherSearchTest::test_buy_srch_004_typo_suggestion_prefers_fewer_unmatched_words_and_search_accepts_separated_terms; search-browser.json</t>
        </is>
      </c>
    </row>
    <row r="6" ht="55" customHeight="1">
      <c r="A6" s="7" t="inlineStr">
        <is>
          <t>BUY-SRCH-005</t>
        </is>
      </c>
      <c r="B6" s="8" t="inlineStr">
        <is>
          <t>Browse, Search &amp; Filter</t>
        </is>
      </c>
      <c r="C6" s="8" t="inlineStr">
        <is>
          <t>Search: special characters and injection</t>
        </is>
      </c>
      <c r="D6" s="8" t="inlineStr">
        <is>
          <t>Error Guessing</t>
        </is>
      </c>
      <c r="E6" s="8" t="inlineStr">
        <is>
          <t>High</t>
        </is>
      </c>
      <c r="F6" s="8" t="inlineStr">
        <is>
          <t>Logged in as Buyer 1.</t>
        </is>
      </c>
      <c r="G6" s="8" t="inlineStr">
        <is>
          <t>1. Search each string.
2. Check the page and browser console.</t>
        </is>
      </c>
      <c r="H6" s="8" t="inlineStr">
        <is>
          <t>%
' OR '1'='1
&lt;script&gt;alert(1)&lt;/script&gt;
"&gt;&lt;img src=x onerror=alert(1)&gt;</t>
        </is>
      </c>
      <c r="I6" s="8" t="inlineStr">
        <is>
          <t>Each returns no results or literal matches. No error page, no pop-up, no list of all products from the SQL string, and the console shows no script run.</t>
        </is>
      </c>
      <c r="J6" s="8" t="inlineStr"/>
      <c r="K6" s="5" t="inlineStr">
        <is>
          <t xml:space="preserve">Chrome/MySQL: all four workbook injection/special-character searches returned no products and escaped their literal input; no dialog, script execution or page error occurred.</t>
        </is>
      </c>
      <c r="L6" s="5" t="inlineStr">
        <is>
          <t xml:space="preserve">PASS</t>
        </is>
      </c>
      <c r="M6" s="5" t="inlineStr">
        <is>
          <t xml:space="preserve">Evidence: regression-final.xml: Tests.Feature.TeacherSearchTest::test_buy_srch_005_percent_and_sql_and_html_inputs_remain_literal; search-browser.json</t>
        </is>
      </c>
    </row>
    <row r="7" ht="29.5" customHeight="1">
      <c r="A7" s="7" t="inlineStr">
        <is>
          <t>BUY-SRCH-006</t>
        </is>
      </c>
      <c r="B7" s="8" t="inlineStr">
        <is>
          <t>Browse, Search &amp; Filter</t>
        </is>
      </c>
      <c r="C7" s="8" t="inlineStr">
        <is>
          <t>Empty search</t>
        </is>
      </c>
      <c r="D7" s="8" t="inlineStr">
        <is>
          <t>Error Guessing</t>
        </is>
      </c>
      <c r="E7" s="8" t="inlineStr">
        <is>
          <t>Low</t>
        </is>
      </c>
      <c r="F7" s="8" t="inlineStr">
        <is>
          <t>Logged in as Buyer 1.</t>
        </is>
      </c>
      <c r="G7" s="8" t="inlineStr">
        <is>
          <t>1. Click Search with an empty box and with spaces only.</t>
        </is>
      </c>
      <c r="H7" s="8" t="inlineStr"/>
      <c r="I7" s="8" t="inlineStr">
        <is>
          <t>The search is not submitted (or the normal listing is shown). No error page.</t>
        </is>
      </c>
      <c r="J7" s="8" t="inlineStr"/>
      <c r="K7" s="5" t="inlineStr">
        <is>
          <t xml:space="preserve">Chrome/MySQL: empty and spaces-only queries displayed normal listings without errors.</t>
        </is>
      </c>
      <c r="L7" s="5" t="inlineStr">
        <is>
          <t xml:space="preserve">PASS</t>
        </is>
      </c>
      <c r="M7" s="5" t="inlineStr">
        <is>
          <t xml:space="preserve">Evidence: search-browser.json</t>
        </is>
      </c>
    </row>
    <row r="8" ht="67.75" customHeight="1">
      <c r="A8" s="7" t="inlineStr">
        <is>
          <t>BUY-SRCH-007</t>
        </is>
      </c>
      <c r="B8" s="8" t="inlineStr">
        <is>
          <t>Browse, Search &amp; Filter</t>
        </is>
      </c>
      <c r="C8" s="8" t="inlineStr">
        <is>
          <t>Price range filter</t>
        </is>
      </c>
      <c r="D8" s="8" t="inlineStr">
        <is>
          <t>Boundary Value Analysis</t>
        </is>
      </c>
      <c r="E8" s="8" t="inlineStr">
        <is>
          <t>High</t>
        </is>
      </c>
      <c r="F8" s="8" t="inlineStr">
        <is>
          <t>Logged in as Buyer 1.</t>
        </is>
      </c>
      <c r="G8" s="8" t="inlineStr">
        <is>
          <t>1. Apply each price range.</t>
        </is>
      </c>
      <c r="H8" s="8" t="inlineStr">
        <is>
          <t>₱300 – ₱450 (P-02 included)
₱451 – ₱1,000 (P-02 excluded)
₱450 – ₱450 (P-02 only)
Min ₱1,000, Max ₱100
Min -1</t>
        </is>
      </c>
      <c r="I8" s="8" t="inlineStr">
        <is>
          <t>Range ends are inclusive. Min greater than Max and negative values are rejected with a message and the results are not filtered by them.</t>
        </is>
      </c>
      <c r="J8" s="8" t="inlineStr"/>
      <c r="K8" s="5" t="inlineStr">
        <is>
          <t xml:space="preserve">Chrome/MySQL: all three workbook ranges use inclusive endpoints; equal 450 bounds return P-02 only; reversed range reports validation without applying it, negative min is blocked by the form.</t>
        </is>
      </c>
      <c r="L8" s="5" t="inlineStr">
        <is>
          <t xml:space="preserve">PASS</t>
        </is>
      </c>
      <c r="M8" s="5" t="inlineStr">
        <is>
          <t xml:space="preserve">Evidence: search-browser.json</t>
        </is>
      </c>
    </row>
    <row r="9" ht="42.25" customHeight="1">
      <c r="A9" s="7" t="inlineStr">
        <is>
          <t>BUY-SRCH-008</t>
        </is>
      </c>
      <c r="B9" s="8" t="inlineStr">
        <is>
          <t>Browse, Search &amp; Filter</t>
        </is>
      </c>
      <c r="C9" s="8" t="inlineStr">
        <is>
          <t>Combined filters</t>
        </is>
      </c>
      <c r="D9" s="8" t="inlineStr">
        <is>
          <t>Decision Table</t>
        </is>
      </c>
      <c r="E9" s="8" t="inlineStr">
        <is>
          <t>Medium</t>
        </is>
      </c>
      <c r="F9" s="8" t="inlineStr">
        <is>
          <t>Logged in as Buyer 1.</t>
        </is>
      </c>
      <c r="G9" s="8" t="inlineStr">
        <is>
          <t>1. Apply rating 4+, category Home &amp; Living and location Metro Manila together.
2. Clear one filter at a time.</t>
        </is>
      </c>
      <c r="H9" s="8" t="inlineStr"/>
      <c r="I9" s="8" t="inlineStr">
        <is>
          <t>Only products matching all active filters are shown. Clearing filters widens the results correctly.</t>
        </is>
      </c>
      <c r="J9" s="8" t="inlineStr"/>
      <c r="K9" s="5" t="inlineStr">
        <is>
          <t xml:space="preserve">Chrome/MySQL: rating 4+, Home &amp; Living and Metro Manila intersect to P-02 only; independently clearing location, rating and category each widened results and retained P-02.</t>
        </is>
      </c>
      <c r="L9" s="5" t="inlineStr">
        <is>
          <t xml:space="preserve">PASS</t>
        </is>
      </c>
      <c r="M9" s="5" t="inlineStr">
        <is>
          <t xml:space="preserve">Evidence: search-browser.json</t>
        </is>
      </c>
    </row>
    <row r="10" ht="42.25" customHeight="1">
      <c r="A10" s="7" t="inlineStr">
        <is>
          <t>BUY-SRCH-009</t>
        </is>
      </c>
      <c r="B10" s="8" t="inlineStr">
        <is>
          <t>Browse, Search &amp; Filter</t>
        </is>
      </c>
      <c r="C10" s="8" t="inlineStr">
        <is>
          <t>Sort and pagination</t>
        </is>
      </c>
      <c r="D10" s="8" t="inlineStr">
        <is>
          <t>Equivalence Partitioning</t>
        </is>
      </c>
      <c r="E10" s="8" t="inlineStr">
        <is>
          <t>Medium</t>
        </is>
      </c>
      <c r="F10" s="8" t="inlineStr">
        <is>
          <t>Logged in as Buyer 1.</t>
        </is>
      </c>
      <c r="G10" s="8" t="inlineStr">
        <is>
          <t>1. Sort by price low–high, high–low, latest and best-selling.
2. Go to page 2 and back.</t>
        </is>
      </c>
      <c r="H10" s="8" t="inlineStr"/>
      <c r="I10" s="8" t="inlineStr">
        <is>
          <t>Each sort orders the results correctly. No product repeats or disappears between pages.</t>
        </is>
      </c>
      <c r="J10" s="8" t="inlineStr"/>
      <c r="K10" s="5" t="inlineStr">
        <is>
          <t xml:space="preserve">Chrome/MySQL: low/high price, latest and completed-unit best-selling order checked across two pages; all active category IDs occur exactly once; Previous retains category/sort.</t>
        </is>
      </c>
      <c r="L10" s="5" t="inlineStr">
        <is>
          <t xml:space="preserve">PASS</t>
        </is>
      </c>
      <c r="M10" s="5" t="inlineStr">
        <is>
          <t xml:space="preserve">Evidence: search-browser.json</t>
        </is>
      </c>
    </row>
    <row r="11" ht="55" customHeight="1">
      <c r="A11" s="7" t="inlineStr">
        <is>
          <t>BUY-SRCH-010</t>
        </is>
      </c>
      <c r="B11" s="8" t="inlineStr">
        <is>
          <t>Browse, Search &amp; Filter</t>
        </is>
      </c>
      <c r="C11" s="8" t="inlineStr">
        <is>
          <t>Inactive, deleted and draft products never appear</t>
        </is>
      </c>
      <c r="D11" s="8" t="inlineStr">
        <is>
          <t>Error Guessing</t>
        </is>
      </c>
      <c r="E11" s="8" t="inlineStr">
        <is>
          <t>High</t>
        </is>
      </c>
      <c r="F11" s="8" t="inlineStr">
        <is>
          <t>Seller 1 has one inactive product, one deleted product and one draft.</t>
        </is>
      </c>
      <c r="G11" s="8" t="inlineStr">
        <is>
          <t>1. Search for each by exact name.
2. Browse their category and the store page.
3. Open each product's old URL.</t>
        </is>
      </c>
      <c r="H11" s="8" t="inlineStr"/>
      <c r="I11" s="8" t="inlineStr">
        <is>
          <t>None appears in search, category or store pages. Each URL shows 'unavailable' or 'not found'.</t>
        </is>
      </c>
      <c r="J11" s="8" t="inlineStr"/>
      <c r="K11" s="5" t="inlineStr">
        <is>
          <t xml:space="preserve">Chrome/MySQL: inactive, draft and actually deleted products absent from exact search, category and store; all three direct product URLs return 404.</t>
        </is>
      </c>
      <c r="L11" s="5" t="inlineStr">
        <is>
          <t xml:space="preserve">PASS</t>
        </is>
      </c>
      <c r="M11" s="5" t="inlineStr">
        <is>
          <t xml:space="preserve">Evidence: search-browser.json</t>
        </is>
      </c>
    </row>
    <row r="12" ht="29.5" customHeight="1">
      <c r="A12" s="7" t="inlineStr">
        <is>
          <t>BUY-SRCH-011</t>
        </is>
      </c>
      <c r="B12" s="8" t="inlineStr">
        <is>
          <t>Browse, Search &amp; Filter</t>
        </is>
      </c>
      <c r="C12" s="8" t="inlineStr">
        <is>
          <t>Products of a vacation store</t>
        </is>
      </c>
      <c r="D12" s="8" t="inlineStr">
        <is>
          <t>Equivalence Partitioning</t>
        </is>
      </c>
      <c r="E12" s="8" t="inlineStr">
        <is>
          <t>Low</t>
        </is>
      </c>
      <c r="F12" s="8" t="inlineStr">
        <is>
          <t>Seller 1 is on vacation.</t>
        </is>
      </c>
      <c r="G12" s="8" t="inlineStr">
        <is>
          <t>1. Search for P-02.</t>
        </is>
      </c>
      <c r="H12" s="8" t="inlineStr"/>
      <c r="I12" s="8" t="inlineStr">
        <is>
          <t>P-02 appears with the 'On vacation' label and cannot be added to the cart.</t>
        </is>
      </c>
      <c r="J12" s="8" t="inlineStr">
        <is>
          <t>A18</t>
        </is>
      </c>
      <c r="K12" s="5" t="inlineStr">
        <is>
          <t xml:space="preserve">Chrome/MySQL: enabled vacation in seller settings; store, search and product remained visible with vacation label; Add to Cart/Buy Now disabled; direct add and existing-cart COD checkout blocked; stock/order count unchanged. Separate PHP checks also block GCash reservation and placement.</t>
        </is>
      </c>
      <c r="L12" s="5" t="inlineStr">
        <is>
          <t xml:space="preserve">PASS</t>
        </is>
      </c>
      <c r="M12" s="5" t="inlineStr">
        <is>
          <t xml:space="preserve">Evidence: vacation-browser.json</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93.25" customHeight="1">
      <c r="A2" s="7" t="inlineStr">
        <is>
          <t>BUY-PDP-001</t>
        </is>
      </c>
      <c r="B2" s="8" t="inlineStr">
        <is>
          <t>Product Detail Page</t>
        </is>
      </c>
      <c r="C2" s="8" t="inlineStr">
        <is>
          <t>All variation types must be selected</t>
        </is>
      </c>
      <c r="D2" s="8" t="inlineStr">
        <is>
          <t>Decision Table</t>
        </is>
      </c>
      <c r="E2" s="8" t="inlineStr">
        <is>
          <t>High</t>
        </is>
      </c>
      <c r="F2" s="8" t="inlineStr">
        <is>
          <t>Logged in as Buyer 1. P-01 is open.</t>
        </is>
      </c>
      <c r="G2" s="8" t="inlineStr">
        <is>
          <t>1. Click Add to Cart with nothing selected.
2. Select Color only and click Add to Cart.
3. Select Size too and click Add to Cart.
4. Repeat the first two steps with Buy Now.</t>
        </is>
      </c>
      <c r="H2" s="8" t="inlineStr"/>
      <c r="I2" s="8" t="inlineStr">
        <is>
          <t>Without both selections, Add to Cart and Buy Now show 'Please select a variation' and nothing is added. With both, the item is added once.</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BUY-PDP-002</t>
        </is>
      </c>
      <c r="B3" s="8" t="inlineStr">
        <is>
          <t>Product Detail Page</t>
        </is>
      </c>
      <c r="C3" s="8" t="inlineStr">
        <is>
          <t>Selecting a variant updates price, stock and image</t>
        </is>
      </c>
      <c r="D3" s="8" t="inlineStr">
        <is>
          <t>Equivalence Partitioning</t>
        </is>
      </c>
      <c r="E3" s="8" t="inlineStr">
        <is>
          <t>High</t>
        </is>
      </c>
      <c r="F3" s="8" t="inlineStr">
        <is>
          <t>Logged in as Buyer 1.</t>
        </is>
      </c>
      <c r="G3" s="8" t="inlineStr">
        <is>
          <t>1. Select Natural-S, then Natural-L, then Black-S.</t>
        </is>
      </c>
      <c r="H3" s="8" t="inlineStr">
        <is>
          <t>P-01</t>
        </is>
      </c>
      <c r="I3" s="8" t="inlineStr">
        <is>
          <t>Price: ₱199 → ₱299 → ₱199. Stock: 10 → 5 → 10. Image switches to the colour's image.</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BUY-PDP-003</t>
        </is>
      </c>
      <c r="B4" s="8" t="inlineStr">
        <is>
          <t>Product Detail Page</t>
        </is>
      </c>
      <c r="C4" s="8" t="inlineStr">
        <is>
          <t>Out-of-stock variant disabled</t>
        </is>
      </c>
      <c r="D4" s="8" t="inlineStr">
        <is>
          <t>Equivalence Partitioning</t>
        </is>
      </c>
      <c r="E4" s="8" t="inlineStr">
        <is>
          <t>High</t>
        </is>
      </c>
      <c r="F4" s="8" t="inlineStr">
        <is>
          <t>Logged in as Buyer 1.</t>
        </is>
      </c>
      <c r="G4" s="8" t="inlineStr">
        <is>
          <t>1. Select Black and try to click M.</t>
        </is>
      </c>
      <c r="H4" s="8" t="inlineStr">
        <is>
          <t>Black-M stock 0</t>
        </is>
      </c>
      <c r="I4" s="8" t="inlineStr">
        <is>
          <t>M is disabled for Black and cannot be selected.</t>
        </is>
      </c>
      <c r="J4" s="8" t="inlineStr"/>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93.25" customHeight="1">
      <c r="A5" s="7" t="inlineStr">
        <is>
          <t>BUY-PDP-004</t>
        </is>
      </c>
      <c r="B5" s="8" t="inlineStr">
        <is>
          <t>Product Detail Page</t>
        </is>
      </c>
      <c r="C5" s="8" t="inlineStr">
        <is>
          <t>Quantity limits</t>
        </is>
      </c>
      <c r="D5" s="8" t="inlineStr">
        <is>
          <t>Boundary Value Analysis</t>
        </is>
      </c>
      <c r="E5" s="8" t="inlineStr">
        <is>
          <t>High</t>
        </is>
      </c>
      <c r="F5" s="8" t="inlineStr">
        <is>
          <t>Logged in as Buyer 1. P-02 stock is 20.</t>
        </is>
      </c>
      <c r="G5" s="8" t="inlineStr">
        <is>
          <t>1. Type each quantity and click Add to Cart.
2. Use the + button to go past 20.</t>
        </is>
      </c>
      <c r="H5" s="8" t="inlineStr">
        <is>
          <t>0 (reject)
-1 (reject)
1 (accept)
20 (accept)
21 (reject)
1.5 (reject)
abc (reject)</t>
        </is>
      </c>
      <c r="I5" s="8" t="inlineStr">
        <is>
          <t>Only 1 and 20 are added. The + button stops at 20. Invalid values show a message and the cart is unchanged.</t>
        </is>
      </c>
      <c r="J5" s="8" t="inlineStr">
        <is>
          <t>A17</t>
        </is>
      </c>
      <c r="K5" s="5" t="inlineStr">
        <is>
          <t xml:space="preserve">Chrome/MySQL: quantities 0, -1, 21, 1.5 and alphabetic typing show validation and do not change cart; 1 and 20 each add exactly that quantity in separate attempts; plus stops at available 20.</t>
        </is>
      </c>
      <c r="L5" s="5" t="inlineStr">
        <is>
          <t xml:space="preserve">PASS</t>
        </is>
      </c>
      <c r="M5" s="5" t="inlineStr">
        <is>
          <t xml:space="preserve">Evidence: cart-basics-browser.json</t>
        </is>
      </c>
    </row>
    <row r="6" ht="29.5" customHeight="1">
      <c r="A6" s="7" t="inlineStr">
        <is>
          <t>BUY-PDP-005</t>
        </is>
      </c>
      <c r="B6" s="8" t="inlineStr">
        <is>
          <t>Product Detail Page</t>
        </is>
      </c>
      <c r="C6" s="8" t="inlineStr">
        <is>
          <t>Per-buyer purchase limit</t>
        </is>
      </c>
      <c r="D6" s="8" t="inlineStr">
        <is>
          <t>Boundary Value Analysis</t>
        </is>
      </c>
      <c r="E6" s="8" t="inlineStr">
        <is>
          <t>High</t>
        </is>
      </c>
      <c r="F6" s="8" t="inlineStr">
        <is>
          <t>Logged in as Buyer 1. Buyer 1 has not bought P-07 before.</t>
        </is>
      </c>
      <c r="G6" s="8" t="inlineStr">
        <is>
          <t>1. Add 2 × P-07 and buy them.
2. Try to add 1 more P-07.</t>
        </is>
      </c>
      <c r="H6" s="8" t="inlineStr">
        <is>
          <t>P-07 limit 2</t>
        </is>
      </c>
      <c r="I6" s="8" t="inlineStr">
        <is>
          <t>The first 2 are bought. The 3rd is blocked with a limit message, including in a new cart.</t>
        </is>
      </c>
      <c r="J6" s="8" t="inlineStr"/>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BUY-PDP-006</t>
        </is>
      </c>
      <c r="B7" s="8" t="inlineStr">
        <is>
          <t>Product Detail Page</t>
        </is>
      </c>
      <c r="C7" s="8" t="inlineStr">
        <is>
          <t>Sale price, countdown and vouchers shown</t>
        </is>
      </c>
      <c r="D7" s="8" t="inlineStr">
        <is>
          <t>Equivalence Partitioning</t>
        </is>
      </c>
      <c r="E7" s="8" t="inlineStr">
        <is>
          <t>Medium</t>
        </is>
      </c>
      <c r="F7" s="8" t="inlineStr">
        <is>
          <t>A flash sale is live on P-02 (₱299). MCH50 is claimable.</t>
        </is>
      </c>
      <c r="G7" s="8" t="inlineStr">
        <is>
          <t>1. Open P-02.</t>
        </is>
      </c>
      <c r="H7" s="8" t="inlineStr"/>
      <c r="I7" s="8" t="inlineStr">
        <is>
          <t>Shows ₱299 with ₱450 struck through, a countdown to the slot end, the flash units left, and MCH50 with a Claim button.</t>
        </is>
      </c>
      <c r="J7" s="8" t="inlineStr">
        <is>
          <t>A5</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42.25" customHeight="1">
      <c r="A8" s="7" t="inlineStr">
        <is>
          <t>BUY-PDP-007</t>
        </is>
      </c>
      <c r="B8" s="8" t="inlineStr">
        <is>
          <t>Product Detail Page</t>
        </is>
      </c>
      <c r="C8" s="8" t="inlineStr">
        <is>
          <t>Buy Now checks out only that item</t>
        </is>
      </c>
      <c r="D8" s="8" t="inlineStr">
        <is>
          <t>Use Case Testing</t>
        </is>
      </c>
      <c r="E8" s="8" t="inlineStr">
        <is>
          <t>Medium</t>
        </is>
      </c>
      <c r="F8" s="8" t="inlineStr">
        <is>
          <t>Logged in as Buyer 1. Cart already has P-05.</t>
        </is>
      </c>
      <c r="G8" s="8" t="inlineStr">
        <is>
          <t>1. Select P-01 Natural-M and click Buy Now.</t>
        </is>
      </c>
      <c r="H8" s="8" t="inlineStr"/>
      <c r="I8" s="8" t="inlineStr">
        <is>
          <t>Checkout opens with only P-01 Natural-M × 1. P-05 stays in the cart and is not in this checkout.</t>
        </is>
      </c>
      <c r="J8" s="8" t="inlineStr"/>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29.5" customHeight="1">
      <c r="A9" s="7" t="inlineStr">
        <is>
          <t>BUY-PDP-008</t>
        </is>
      </c>
      <c r="B9" s="8" t="inlineStr">
        <is>
          <t>Product Detail Page</t>
        </is>
      </c>
      <c r="C9" s="8" t="inlineStr">
        <is>
          <t>Product page of an unavailable product</t>
        </is>
      </c>
      <c r="D9" s="8" t="inlineStr">
        <is>
          <t>Error Guessing</t>
        </is>
      </c>
      <c r="E9" s="8" t="inlineStr">
        <is>
          <t>Medium</t>
        </is>
      </c>
      <c r="F9" s="8" t="inlineStr">
        <is>
          <t>Logged in as Buyer 1.</t>
        </is>
      </c>
      <c r="G9" s="8" t="inlineStr">
        <is>
          <t>1. Open the URL of a deleted product and of an inactive product.</t>
        </is>
      </c>
      <c r="H9" s="8" t="inlineStr"/>
      <c r="I9" s="8" t="inlineStr">
        <is>
          <t>Both show a clear 'unavailable' page with no Add to Cart. No error page.</t>
        </is>
      </c>
      <c r="J9" s="8" t="inlineStr"/>
      <c r="K9" s="5" t="inlineStr">
        <is>
          <t xml:space="preserve">Chrome/MySQL: inactive and actually deleted fixture product URLs show a clear Product unavailable page with no purchase button or exception; checked both buyer and guest URLs.</t>
        </is>
      </c>
      <c r="L9" s="5" t="inlineStr">
        <is>
          <t xml:space="preserve">PASS</t>
        </is>
      </c>
      <c r="M9" s="5" t="inlineStr">
        <is>
          <t xml:space="preserve">Evidence: inventory-browser.json</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BUY-WISH-001</t>
        </is>
      </c>
      <c r="B2" s="8" t="inlineStr">
        <is>
          <t>Wishlist &amp; Follow Store</t>
        </is>
      </c>
      <c r="C2" s="8" t="inlineStr">
        <is>
          <t>Add and remove a wishlist item</t>
        </is>
      </c>
      <c r="D2" s="8" t="inlineStr">
        <is>
          <t>Use Case Testing</t>
        </is>
      </c>
      <c r="E2" s="8" t="inlineStr">
        <is>
          <t>Medium</t>
        </is>
      </c>
      <c r="F2" s="8" t="inlineStr">
        <is>
          <t>Logged in as Buyer 1.</t>
        </is>
      </c>
      <c r="G2" s="8" t="inlineStr">
        <is>
          <t>1. Add P-02 to the wishlist.
2. Open Wishlist.
3. Remove P-02 and refresh.</t>
        </is>
      </c>
      <c r="H2" s="8" t="inlineStr"/>
      <c r="I2" s="8" t="inlineStr">
        <is>
          <t>P-02 appears once, then is gone after removal. The heart on P-02's page matches each state.</t>
        </is>
      </c>
      <c r="J2" s="8" t="inlineStr"/>
      <c r="K2" s="5" t="inlineStr">
        <is>
          <t xml:space="preserve">Chrome/MySQL: saved P-02 once, wishlist showed one entry; removal persisted after reload and product heart returned to unsaved.</t>
        </is>
      </c>
      <c r="L2" s="5" t="inlineStr">
        <is>
          <t xml:space="preserve">PASS</t>
        </is>
      </c>
      <c r="M2" s="5" t="inlineStr">
        <is>
          <t xml:space="preserve">Evidence: regression-final.xml: Tests.Feature.TeacherWishlistTest::test_buy_wish_001_and_002_explicit_state_is_idempotent_and_buyer_scoped; wishlist-browser.json</t>
        </is>
      </c>
    </row>
    <row r="3" ht="42.25" customHeight="1">
      <c r="A3" s="7" t="inlineStr">
        <is>
          <t>BUY-WISH-002</t>
        </is>
      </c>
      <c r="B3" s="8" t="inlineStr">
        <is>
          <t>Wishlist &amp; Follow Store</t>
        </is>
      </c>
      <c r="C3" s="8" t="inlineStr">
        <is>
          <t>Add the same item twice quickly</t>
        </is>
      </c>
      <c r="D3" s="8" t="inlineStr">
        <is>
          <t>Error Guessing</t>
        </is>
      </c>
      <c r="E3" s="8" t="inlineStr">
        <is>
          <t>Low</t>
        </is>
      </c>
      <c r="F3" s="8" t="inlineStr">
        <is>
          <t>Logged in as Buyer 1.</t>
        </is>
      </c>
      <c r="G3" s="8" t="inlineStr">
        <is>
          <t>1. Double-click the wishlist heart on P-02.
2. Open Wishlist.</t>
        </is>
      </c>
      <c r="H3" s="8" t="inlineStr"/>
      <c r="I3" s="8" t="inlineStr">
        <is>
          <t>P-02 appears at most once, and the heart reflects the final state.</t>
        </is>
      </c>
      <c r="J3" s="8" t="inlineStr">
        <is>
          <t>A37</t>
        </is>
      </c>
      <c r="K3" s="5" t="inlineStr">
        <is>
          <t xml:space="preserve">Chrome/MySQL: two immediate heart clicks created at most one entry; refreshed product heart, persisted row count and wishlist state agree.</t>
        </is>
      </c>
      <c r="L3" s="5" t="inlineStr">
        <is>
          <t xml:space="preserve">PASS</t>
        </is>
      </c>
      <c r="M3" s="5" t="inlineStr">
        <is>
          <t xml:space="preserve">Evidence: wishlist-browser.json</t>
        </is>
      </c>
    </row>
    <row r="4" ht="42.25" customHeight="1">
      <c r="A4" s="7" t="inlineStr">
        <is>
          <t>BUY-WISH-003</t>
        </is>
      </c>
      <c r="B4" s="8" t="inlineStr">
        <is>
          <t>Wishlist &amp; Follow Store</t>
        </is>
      </c>
      <c r="C4" s="8" t="inlineStr">
        <is>
          <t>Wishlist item goes out of stock or is deleted</t>
        </is>
      </c>
      <c r="D4" s="8" t="inlineStr">
        <is>
          <t>State Transition</t>
        </is>
      </c>
      <c r="E4" s="8" t="inlineStr">
        <is>
          <t>Medium</t>
        </is>
      </c>
      <c r="F4" s="8" t="inlineStr">
        <is>
          <t>P-02 and P-05 are in Buyer 1's wishlist.</t>
        </is>
      </c>
      <c r="G4" s="8" t="inlineStr">
        <is>
          <t>1. Seller 1 sets P-02 stock to 0. Seller 2 deletes P-05.
2. Open Wishlist.</t>
        </is>
      </c>
      <c r="H4" s="8" t="inlineStr"/>
      <c r="I4" s="8" t="inlineStr">
        <is>
          <t>P-02 shows Sold out with Add to Cart disabled. P-05 stays listed as Unavailable with no Add to Cart. The page shows no error.</t>
        </is>
      </c>
      <c r="J4" s="8" t="inlineStr"/>
      <c r="K4" s="5" t="inlineStr">
        <is>
          <t xml:space="preserve">Chrome/MySQL: seller set saved P-02 stock to zero and deleted another saved listing through actual routes; wishlist retained both snapshots, showed Sold out / Unavailable and disabled purchase without a page error.</t>
        </is>
      </c>
      <c r="L4" s="5" t="inlineStr">
        <is>
          <t xml:space="preserve">PASS</t>
        </is>
      </c>
      <c r="M4" s="5" t="inlineStr">
        <is>
          <t xml:space="preserve">Evidence: regression-final.xml: Tests.Feature.TeacherWishlistTest::test_buy_wish_003_deleted_snapshot_remains_removable_and_sold_out_product_is_disabled; wishlist-browser.json</t>
        </is>
      </c>
    </row>
    <row r="5" ht="55" customHeight="1">
      <c r="A5" s="7" t="inlineStr">
        <is>
          <t>BUY-WISH-004</t>
        </is>
      </c>
      <c r="B5" s="8" t="inlineStr">
        <is>
          <t>Wishlist &amp; Follow Store</t>
        </is>
      </c>
      <c r="C5" s="8" t="inlineStr">
        <is>
          <t>Follow and unfollow a store</t>
        </is>
      </c>
      <c r="D5" s="8" t="inlineStr">
        <is>
          <t>Use Case Testing</t>
        </is>
      </c>
      <c r="E5" s="8" t="inlineStr">
        <is>
          <t>Medium</t>
        </is>
      </c>
      <c r="F5" s="8" t="inlineStr">
        <is>
          <t>Logged in as Buyer 1. Seller 1 has N followers.</t>
        </is>
      </c>
      <c r="G5" s="8" t="inlineStr">
        <is>
          <t>1. Follow Seller 1.
2. Check the follower count and Following list.
3. Unfollow and check again.</t>
        </is>
      </c>
      <c r="H5" s="8" t="inlineStr"/>
      <c r="I5" s="8" t="inlineStr">
        <is>
          <t>Count becomes N+1 and Seller 1 is in Following; after unfollowing, N and removed.</t>
        </is>
      </c>
      <c r="J5" s="8" t="inlineStr"/>
      <c r="K5" s="5" t="inlineStr">
        <is>
          <t xml:space="preserve">Chrome/MySQL: Follow changed count N→N+1 and added store to Following; Unfollow restored N and removed the store from Following.</t>
        </is>
      </c>
      <c r="L5" s="5" t="inlineStr">
        <is>
          <t xml:space="preserve">PASS</t>
        </is>
      </c>
      <c r="M5" s="5" t="inlineStr">
        <is>
          <t xml:space="preserve">Evidence: regression-final.xml: Tests.Feature.TeacherWishlistTest::test_buy_wish_004_explicit_follow_is_idempotent_and_following_is_scoped; wishlist-browser.json</t>
        </is>
      </c>
    </row>
    <row r="6" ht="29.5" customHeight="1">
      <c r="A6" s="7" t="inlineStr">
        <is>
          <t>BUY-WISH-005</t>
        </is>
      </c>
      <c r="B6" s="8" t="inlineStr">
        <is>
          <t>Wishlist &amp; Follow Store</t>
        </is>
      </c>
      <c r="C6" s="8" t="inlineStr">
        <is>
          <t>Wishlist and follow require login</t>
        </is>
      </c>
      <c r="D6" s="8" t="inlineStr">
        <is>
          <t>Error Guessing</t>
        </is>
      </c>
      <c r="E6" s="8" t="inlineStr">
        <is>
          <t>Low</t>
        </is>
      </c>
      <c r="F6" s="8" t="inlineStr">
        <is>
          <t>Logged out.</t>
        </is>
      </c>
      <c r="G6" s="8" t="inlineStr">
        <is>
          <t>1. Click the wishlist heart on P-02.
2. Click Follow on Seller 1.</t>
        </is>
      </c>
      <c r="H6" s="8" t="inlineStr"/>
      <c r="I6" s="8" t="inlineStr">
        <is>
          <t>Each opens the login page; nothing is saved without an account.</t>
        </is>
      </c>
      <c r="J6" s="8" t="inlineStr"/>
      <c r="K6" s="5" t="inlineStr">
        <is>
          <t xml:space="preserve">Chrome/MySQL: guest wishlist and Follow both navigated to login; direct saved-page access also required login; persisted wishlist/follow rows and counts unchanged.</t>
        </is>
      </c>
      <c r="L6" s="5" t="inlineStr">
        <is>
          <t xml:space="preserve">PASS</t>
        </is>
      </c>
      <c r="M6" s="5" t="inlineStr">
        <is>
          <t xml:space="preserve">Evidence: wishlist-browser.json</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BUY-CART-001</t>
        </is>
      </c>
      <c r="B2" s="8" t="inlineStr">
        <is>
          <t>Cart</t>
        </is>
      </c>
      <c r="C2" s="8" t="inlineStr">
        <is>
          <t>Same variant added twice merges</t>
        </is>
      </c>
      <c r="D2" s="8" t="inlineStr">
        <is>
          <t>Equivalence Partitioning</t>
        </is>
      </c>
      <c r="E2" s="8" t="inlineStr">
        <is>
          <t>High</t>
        </is>
      </c>
      <c r="F2" s="8" t="inlineStr">
        <is>
          <t>Logged in as Buyer 1. Cart is empty.</t>
        </is>
      </c>
      <c r="G2" s="8" t="inlineStr">
        <is>
          <t>1. Add P-01 Natural-M × 1.
2. Add P-01 Natural-M × 2.
3. Open the cart.</t>
        </is>
      </c>
      <c r="H2" s="8" t="inlineStr"/>
      <c r="I2" s="8" t="inlineStr">
        <is>
          <t>One line, Natural-M × 3, subtotal ₱747.00.</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BUY-CART-002</t>
        </is>
      </c>
      <c r="B3" s="8" t="inlineStr">
        <is>
          <t>Cart</t>
        </is>
      </c>
      <c r="C3" s="8" t="inlineStr">
        <is>
          <t>Different variants stay separate</t>
        </is>
      </c>
      <c r="D3" s="8" t="inlineStr">
        <is>
          <t>Equivalence Partitioning</t>
        </is>
      </c>
      <c r="E3" s="8" t="inlineStr">
        <is>
          <t>High</t>
        </is>
      </c>
      <c r="F3" s="8" t="inlineStr">
        <is>
          <t>Logged in as Buyer 1. Cart is empty.</t>
        </is>
      </c>
      <c r="G3" s="8" t="inlineStr">
        <is>
          <t>1. Add P-01 Natural-M and P-01 Black-S.</t>
        </is>
      </c>
      <c r="H3" s="8" t="inlineStr"/>
      <c r="I3" s="8" t="inlineStr">
        <is>
          <t>Two separate lines with their own prices (₱249 and ₱199).</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BUY-CART-003</t>
        </is>
      </c>
      <c r="B4" s="8" t="inlineStr">
        <is>
          <t>Cart</t>
        </is>
      </c>
      <c r="C4" s="8" t="inlineStr">
        <is>
          <t>Items grouped by store</t>
        </is>
      </c>
      <c r="D4" s="8" t="inlineStr">
        <is>
          <t>Use Case Testing</t>
        </is>
      </c>
      <c r="E4" s="8" t="inlineStr">
        <is>
          <t>Medium</t>
        </is>
      </c>
      <c r="F4" s="8" t="inlineStr">
        <is>
          <t>Logged in as Buyer 1.</t>
        </is>
      </c>
      <c r="G4" s="8" t="inlineStr">
        <is>
          <t>1. Add P-02 (Seller 1) and P-05 (Seller 2).</t>
        </is>
      </c>
      <c r="H4" s="8" t="inlineStr"/>
      <c r="I4" s="8" t="inlineStr">
        <is>
          <t>Two store groups with store names, each listing only its own items.</t>
        </is>
      </c>
      <c r="J4" s="8" t="inlineStr"/>
      <c r="K4" s="5" t="inlineStr">
        <is>
          <t xml:space="preserve">Chrome/MySQL: products from two sellers render in exactly two named store groups, with only the correct item in each group.</t>
        </is>
      </c>
      <c r="L4" s="5" t="inlineStr">
        <is>
          <t xml:space="preserve">PASS</t>
        </is>
      </c>
      <c r="M4" s="5" t="inlineStr">
        <is>
          <t xml:space="preserve">Evidence: cart-basics-browser.json</t>
        </is>
      </c>
    </row>
    <row r="5" ht="55" customHeight="1">
      <c r="A5" s="7" t="inlineStr">
        <is>
          <t>BUY-CART-004</t>
        </is>
      </c>
      <c r="B5" s="8" t="inlineStr">
        <is>
          <t>Cart</t>
        </is>
      </c>
      <c r="C5" s="8" t="inlineStr">
        <is>
          <t>Select and deselect items for checkout</t>
        </is>
      </c>
      <c r="D5" s="8" t="inlineStr">
        <is>
          <t>Decision Table</t>
        </is>
      </c>
      <c r="E5" s="8" t="inlineStr">
        <is>
          <t>High</t>
        </is>
      </c>
      <c r="F5" s="8" t="inlineStr">
        <is>
          <t>Logged in as Buyer 1. Cart has P-01 Natural-M, P-02 and P-05, all deselected.</t>
        </is>
      </c>
      <c r="G5" s="8" t="inlineStr">
        <is>
          <t>1. Select P-05 only and note the subtotal.
2. Click Seller 1's store checkbox.
3. Deselect P-05.
4. Click Check Out.</t>
        </is>
      </c>
      <c r="H5" s="8" t="inlineStr"/>
      <c r="I5" s="8" t="inlineStr">
        <is>
          <t>Subtotals: ₱399, then ₱1,098, then ₱699. Checkout contains only P-01 and P-02; P-05 stays in the cart.</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BUY-CART-005</t>
        </is>
      </c>
      <c r="B6" s="8" t="inlineStr">
        <is>
          <t>Cart</t>
        </is>
      </c>
      <c r="C6" s="8" t="inlineStr">
        <is>
          <t>Change quantity at the limits</t>
        </is>
      </c>
      <c r="D6" s="8" t="inlineStr">
        <is>
          <t>Boundary Value Analysis</t>
        </is>
      </c>
      <c r="E6" s="8" t="inlineStr">
        <is>
          <t>High</t>
        </is>
      </c>
      <c r="F6" s="8" t="inlineStr">
        <is>
          <t>Logged in as Buyer 1. P-02 in the cart, stock 20.</t>
        </is>
      </c>
      <c r="G6" s="8" t="inlineStr">
        <is>
          <t>1. Set quantity 0, 1, 20 and 21.</t>
        </is>
      </c>
      <c r="H6" s="8" t="inlineStr"/>
      <c r="I6" s="8" t="inlineStr">
        <is>
          <t>0 is not accepted (or asks to remove the item). 1 and 20 are accepted. 21 is blocked with 'only 20 available'.</t>
        </is>
      </c>
      <c r="J6" s="8" t="inlineStr">
        <is>
          <t>A17</t>
        </is>
      </c>
      <c r="K6" s="5" t="inlineStr">
        <is>
          <t xml:space="preserve">Chrome/MySQL: cart editor rejects 0 and 21, saves exactly 1 and 20, and displays Only 20 for an overstock quantity while preserving the previous value.</t>
        </is>
      </c>
      <c r="L6" s="5" t="inlineStr">
        <is>
          <t xml:space="preserve">PASS</t>
        </is>
      </c>
      <c r="M6" s="5" t="inlineStr">
        <is>
          <t xml:space="preserve">Evidence: cart-basics-browser.json</t>
        </is>
      </c>
    </row>
    <row r="7" ht="29.5" customHeight="1">
      <c r="A7" s="7" t="inlineStr">
        <is>
          <t>BUY-CART-006</t>
        </is>
      </c>
      <c r="B7" s="8" t="inlineStr">
        <is>
          <t>Cart</t>
        </is>
      </c>
      <c r="C7" s="8" t="inlineStr">
        <is>
          <t>Price changes while in the cart</t>
        </is>
      </c>
      <c r="D7" s="8" t="inlineStr">
        <is>
          <t>State Transition</t>
        </is>
      </c>
      <c r="E7" s="8" t="inlineStr">
        <is>
          <t>High</t>
        </is>
      </c>
      <c r="F7" s="8" t="inlineStr">
        <is>
          <t>P-02 (₱450) in the cart.</t>
        </is>
      </c>
      <c r="G7" s="8" t="inlineStr">
        <is>
          <t>1. Seller 1 changes P-02 to ₱420.
2. Refresh the cart.</t>
        </is>
      </c>
      <c r="H7" s="8" t="inlineStr"/>
      <c r="I7" s="8" t="inlineStr">
        <is>
          <t>The cart shows ₱420.00 and the subtotal updates.</t>
        </is>
      </c>
      <c r="J7" s="8" t="inlineStr"/>
      <c r="K7" s="5" t="inlineStr">
        <is>
          <t xml:space="preserve">Chrome/MySQL: seller changed P-02 from 450 to 420 through product edit; refreshed cart line/subtotal and confirmed COD order all use 420, with exactly one order.</t>
        </is>
      </c>
      <c r="L7" s="5" t="inlineStr">
        <is>
          <t xml:space="preserve">PASS</t>
        </is>
      </c>
      <c r="M7" s="5" t="inlineStr">
        <is>
          <t xml:space="preserve">Evidence: regression-final.xml: Tests.Feature.TeacherCheckoutStockTest::test_buy_cart_006_refresh_uses_live_price_and_checkout_charges_it; cart-browser.json</t>
        </is>
      </c>
    </row>
    <row r="8" ht="67.75" customHeight="1">
      <c r="A8" s="7" t="inlineStr">
        <is>
          <t>BUY-CART-007</t>
        </is>
      </c>
      <c r="B8" s="8" t="inlineStr">
        <is>
          <t>Cart</t>
        </is>
      </c>
      <c r="C8" s="8" t="inlineStr">
        <is>
          <t>Item goes out of stock or is deleted while in the cart</t>
        </is>
      </c>
      <c r="D8" s="8" t="inlineStr">
        <is>
          <t>State Transition</t>
        </is>
      </c>
      <c r="E8" s="8" t="inlineStr">
        <is>
          <t>High</t>
        </is>
      </c>
      <c r="F8" s="8" t="inlineStr">
        <is>
          <t>P-02 and P-05 in the cart, plus P-06.</t>
        </is>
      </c>
      <c r="G8" s="8" t="inlineStr">
        <is>
          <t>1. Seller 1 sets P-02 stock to 0. Seller 2 deletes P-05.
2. Open the cart and try to select P-02 and P-05.
3. Check out P-06.</t>
        </is>
      </c>
      <c r="H8" s="8" t="inlineStr"/>
      <c r="I8" s="8" t="inlineStr">
        <is>
          <t>P-02 and P-05 are marked unavailable and cannot be selected. P-06 checks out normally.</t>
        </is>
      </c>
      <c r="J8" s="8" t="inlineStr"/>
      <c r="K8" s="5" t="inlineStr">
        <is>
          <t xml:space="preserve">Chrome/MySQL: zero-stock product and deleted product saved in the cart are both visibly unavailable and disabled; deleted saved cart line is disabled; available lamp completed COD checkout.</t>
        </is>
      </c>
      <c r="L8" s="5" t="inlineStr">
        <is>
          <t xml:space="preserve">PASS</t>
        </is>
      </c>
      <c r="M8" s="5" t="inlineStr">
        <is>
          <t xml:space="preserve">Evidence: regression-final.xml: Tests.Feature.TeacherCheckoutStockTest::test_buy_cart_007_unavailable_lines_are_disabled_while_available_line_can_checkout; cart-browser.json</t>
        </is>
      </c>
    </row>
    <row r="9" ht="29.5" customHeight="1">
      <c r="A9" s="7" t="inlineStr">
        <is>
          <t>BUY-CART-008</t>
        </is>
      </c>
      <c r="B9" s="8" t="inlineStr">
        <is>
          <t>Cart</t>
        </is>
      </c>
      <c r="C9" s="8" t="inlineStr">
        <is>
          <t>Cart persists after logout and on another device</t>
        </is>
      </c>
      <c r="D9" s="8" t="inlineStr">
        <is>
          <t>State Transition</t>
        </is>
      </c>
      <c r="E9" s="8" t="inlineStr">
        <is>
          <t>Medium</t>
        </is>
      </c>
      <c r="F9" s="8" t="inlineStr">
        <is>
          <t>Logged in as Buyer 1. Cart has 2 items.</t>
        </is>
      </c>
      <c r="G9" s="8" t="inlineStr">
        <is>
          <t>1. Log out and back in.
2. Log in on another browser.</t>
        </is>
      </c>
      <c r="H9" s="8" t="inlineStr"/>
      <c r="I9" s="8" t="inlineStr">
        <is>
          <t>The same 2 items and quantities appear in both places.</t>
        </is>
      </c>
      <c r="J9" s="8" t="inlineStr"/>
      <c r="K9" s="5" t="inlineStr">
        <is>
          <t xml:space="preserve">Chrome/MySQL: same two saved items/quantities survived logout/login and appeared unchanged in a separate browser context.</t>
        </is>
      </c>
      <c r="L9" s="5" t="inlineStr">
        <is>
          <t xml:space="preserve">PASS</t>
        </is>
      </c>
      <c r="M9" s="5" t="inlineStr">
        <is>
          <t xml:space="preserve">Evidence: cart-basics-browser.json</t>
        </is>
      </c>
    </row>
    <row r="10" ht="29.5" customHeight="1">
      <c r="A10" s="7" t="inlineStr">
        <is>
          <t>BUY-CART-009</t>
        </is>
      </c>
      <c r="B10" s="8" t="inlineStr">
        <is>
          <t>Cart</t>
        </is>
      </c>
      <c r="C10" s="8" t="inlineStr">
        <is>
          <t>Remove an item</t>
        </is>
      </c>
      <c r="D10" s="8" t="inlineStr">
        <is>
          <t>Use Case Testing</t>
        </is>
      </c>
      <c r="E10" s="8" t="inlineStr">
        <is>
          <t>Low</t>
        </is>
      </c>
      <c r="F10" s="8" t="inlineStr">
        <is>
          <t>Logged in as Buyer 1.</t>
        </is>
      </c>
      <c r="G10" s="8" t="inlineStr">
        <is>
          <t>1. Click Delete on a line and confirm.</t>
        </is>
      </c>
      <c r="H10" s="8" t="inlineStr"/>
      <c r="I10" s="8" t="inlineStr">
        <is>
          <t>The line is gone after refresh and the subtotal updates.</t>
        </is>
      </c>
      <c r="J10" s="8" t="inlineStr"/>
      <c r="K10" s="5" t="inlineStr">
        <is>
          <t xml:space="preserve">Chrome/MySQL: confirmed deletion removed the line persistently and recalculated the remaining subtotal to 399.00.</t>
        </is>
      </c>
      <c r="L10" s="5" t="inlineStr">
        <is>
          <t xml:space="preserve">PASS</t>
        </is>
      </c>
      <c r="M10" s="5" t="inlineStr">
        <is>
          <t xml:space="preserve">Evidence: cart-basics-browser.json</t>
        </is>
      </c>
    </row>
    <row r="11" ht="42.25" customHeight="1">
      <c r="A11" s="7" t="inlineStr">
        <is>
          <t>BUY-CART-010</t>
        </is>
      </c>
      <c r="B11" s="8" t="inlineStr">
        <is>
          <t>Cart</t>
        </is>
      </c>
      <c r="C11" s="8" t="inlineStr">
        <is>
          <t>Cannot change another buyer's cart</t>
        </is>
      </c>
      <c r="D11" s="8" t="inlineStr">
        <is>
          <t>Error Guessing</t>
        </is>
      </c>
      <c r="E11" s="8" t="inlineStr">
        <is>
          <t>High</t>
        </is>
      </c>
      <c r="F11" s="8" t="inlineStr">
        <is>
          <t>Logged in as Buyer 1.</t>
        </is>
      </c>
      <c r="G11" s="8" t="inlineStr">
        <is>
          <t>1. Capture the update-quantity request and change the cart line ID to one of Buyer 2's.</t>
        </is>
      </c>
      <c r="H11" s="8" t="inlineStr"/>
      <c r="I11" s="8" t="inlineStr">
        <is>
          <t>Rejected (403 or not found). Buyer 2's cart is unchanged.</t>
        </is>
      </c>
      <c r="J11" s="8" t="inlineStr">
        <is>
          <t>A22</t>
        </is>
      </c>
      <c r="K11" s="5" t="inlineStr">
        <is>
          <t xml:space="preserve">Chrome/MySQL: forged update and edit requests using Buyer 2 cart ID each return 404 and preserve all Buyer 2 cart rows.</t>
        </is>
      </c>
      <c r="L11" s="5" t="inlineStr">
        <is>
          <t xml:space="preserve">PASS</t>
        </is>
      </c>
      <c r="M11" s="5" t="inlineStr">
        <is>
          <t xml:space="preserve">Evidence: cart-basics-browser.json</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BUY-VOU-001</t>
        </is>
      </c>
      <c r="B2" s="8" t="inlineStr">
        <is>
          <t>Vouchers &amp; Promotions</t>
        </is>
      </c>
      <c r="C2" s="8" t="inlineStr">
        <is>
          <t>Claim a voucher into the wallet</t>
        </is>
      </c>
      <c r="D2" s="8" t="inlineStr">
        <is>
          <t>Use Case Testing</t>
        </is>
      </c>
      <c r="E2" s="8" t="inlineStr">
        <is>
          <t>High</t>
        </is>
      </c>
      <c r="F2" s="8" t="inlineStr">
        <is>
          <t>Logged in as Buyer 1.</t>
        </is>
      </c>
      <c r="G2" s="8" t="inlineStr">
        <is>
          <t>1. On Seller 1's store page, claim MCH50.
2. Open My Vouchers.
3. Try to claim MCH50 again.</t>
        </is>
      </c>
      <c r="H2" s="8" t="inlineStr"/>
      <c r="I2" s="8" t="inlineStr">
        <is>
          <t>MCH50 is in the wallet with its rule and end date. The button changes to Claimed and a second claim is not possible.</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BUY-VOU-002</t>
        </is>
      </c>
      <c r="B3" s="8" t="inlineStr">
        <is>
          <t>Vouchers &amp; Promotions</t>
        </is>
      </c>
      <c r="C3" s="8" t="inlineStr">
        <is>
          <t>Apply a store voucher</t>
        </is>
      </c>
      <c r="D3" s="8" t="inlineStr">
        <is>
          <t>Use Case Testing</t>
        </is>
      </c>
      <c r="E3" s="8" t="inlineStr">
        <is>
          <t>High</t>
        </is>
      </c>
      <c r="F3" s="8" t="inlineStr">
        <is>
          <t>Logged in as Buyer 1. MCH50 claimed. Cart: P-02 (₱450).</t>
        </is>
      </c>
      <c r="G3" s="8" t="inlineStr">
        <is>
          <t>1. Open checkout and apply MCH50.</t>
        </is>
      </c>
      <c r="H3" s="8" t="inlineStr"/>
      <c r="I3" s="8" t="inlineStr">
        <is>
          <t>Seller 1's group shows −₱50.00 and the total is ₱450 + ₱50 shipping − ₱50 = ₱450.00.</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93.25" customHeight="1">
      <c r="A4" s="7" t="inlineStr">
        <is>
          <t>BUY-VOU-003</t>
        </is>
      </c>
      <c r="B4" s="8" t="inlineStr">
        <is>
          <t>Vouchers &amp; Promotions</t>
        </is>
      </c>
      <c r="C4" s="8" t="inlineStr">
        <is>
          <t>Stacking per the agreed rule</t>
        </is>
      </c>
      <c r="D4" s="8" t="inlineStr">
        <is>
          <t>Decision Table</t>
        </is>
      </c>
      <c r="E4" s="8" t="inlineStr">
        <is>
          <t>High</t>
        </is>
      </c>
      <c r="F4" s="8" t="inlineStr">
        <is>
          <t>Logged in as Buyer 1. Cart holds the worked checkout example items (Seller 1: Tote Natural-M, Rattan Basket; Seller 2: USB-C Charger). MCH50, PLAT100 and FREESHIP are claimed. ADDR-1 is default.</t>
        </is>
      </c>
      <c r="G4" s="8" t="inlineStr">
        <is>
          <t>1. Apply MCH50, PLAT100 and FREESHIP.
2. Select MCH10 for Seller 1 as well.
3. Apply RVSECRET to Seller 2.</t>
        </is>
      </c>
      <c r="H4" s="8" t="inlineStr">
        <is>
          <t>Worked checkout example</t>
        </is>
      </c>
      <c r="I4" s="8" t="inlineStr">
        <is>
          <t>MCH50 + PLAT100 + FREESHIP apply; total ₱1,083.00. Selecting MCH10 replaces MCH50 (Seller 1 ₱699 ≥ ₱500 → −₱69.90; total ₱1,063.10); never both. RVSECRET is not applicable (Seller 2 subtotal ₱399 &lt; ₱1,000).</t>
        </is>
      </c>
      <c r="J4" s="8" t="inlineStr">
        <is>
          <t>A2</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80.5" customHeight="1">
      <c r="A5" s="7" t="inlineStr">
        <is>
          <t>BUY-VOU-004</t>
        </is>
      </c>
      <c r="B5" s="8" t="inlineStr">
        <is>
          <t>Vouchers &amp; Promotions</t>
        </is>
      </c>
      <c r="C5" s="8" t="inlineStr">
        <is>
          <t>Minimum spend at the boundary</t>
        </is>
      </c>
      <c r="D5" s="8" t="inlineStr">
        <is>
          <t>Boundary Value Analysis</t>
        </is>
      </c>
      <c r="E5" s="8" t="inlineStr">
        <is>
          <t>High</t>
        </is>
      </c>
      <c r="F5" s="8" t="inlineStr">
        <is>
          <t>Logged in as Buyer 1. MCH50 claimed (min ₱300). Only check the checkout page; do not place these orders (MCH50 is 1 per buyer).</t>
        </is>
      </c>
      <c r="G5" s="8" t="inlineStr">
        <is>
          <t>1. Seller 1 sets P-02 price to ₱299.99. Check out 1 × P-02 and try MCH50.
2. Seller 1 sets the price to ₱300.00. Check out again.
3. Seller 1 sets the price to ₱300.01. Check out again.</t>
        </is>
      </c>
      <c r="H5" s="8" t="inlineStr">
        <is>
          <t>P-02 at ₱299.99 / ₱300.00 / ₱300.01</t>
        </is>
      </c>
      <c r="I5" s="8" t="inlineStr">
        <is>
          <t>₱299.99: not applicable, with 'Spend ₱0.01 more'. ₱300.00 and ₱300.01: ₱50.00 off.</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55" customHeight="1">
      <c r="A6" s="7" t="inlineStr">
        <is>
          <t>BUY-VOU-005</t>
        </is>
      </c>
      <c r="B6" s="8" t="inlineStr">
        <is>
          <t>Vouchers &amp; Promotions</t>
        </is>
      </c>
      <c r="C6" s="8" t="inlineStr">
        <is>
          <t>Expired, not started, limit reached, invalid code</t>
        </is>
      </c>
      <c r="D6" s="8" t="inlineStr">
        <is>
          <t>Equivalence Partitioning</t>
        </is>
      </c>
      <c r="E6" s="8" t="inlineStr">
        <is>
          <t>High</t>
        </is>
      </c>
      <c r="F6" s="8" t="inlineStr">
        <is>
          <t>Logged in as Buyer 1.</t>
        </is>
      </c>
      <c r="G6" s="8" t="inlineStr">
        <is>
          <t>1. Try to apply each voucher.</t>
        </is>
      </c>
      <c r="H6" s="8" t="inlineStr">
        <is>
          <t>MCHOLD (expired)
MCHSOON (starts tomorrow)
MCHMAX (total limit reached)
NOSUCHCODE (invalid)</t>
        </is>
      </c>
      <c r="I6" s="8" t="inlineStr">
        <is>
          <t>Each is rejected with its own specific message. No discount is applied.</t>
        </is>
      </c>
      <c r="J6" s="8" t="inlineStr"/>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BUY-VOU-006</t>
        </is>
      </c>
      <c r="B7" s="8" t="inlineStr">
        <is>
          <t>Vouchers &amp; Promotions</t>
        </is>
      </c>
      <c r="C7" s="8" t="inlineStr">
        <is>
          <t>Per-buyer limit reached</t>
        </is>
      </c>
      <c r="D7" s="8" t="inlineStr">
        <is>
          <t>Equivalence Partitioning</t>
        </is>
      </c>
      <c r="E7" s="8" t="inlineStr">
        <is>
          <t>Medium</t>
        </is>
      </c>
      <c r="F7" s="8" t="inlineStr">
        <is>
          <t>Buyer 1 used MCH50 on a Completed order.</t>
        </is>
      </c>
      <c r="G7" s="8" t="inlineStr">
        <is>
          <t>1. Try MCH50 on a new order.</t>
        </is>
      </c>
      <c r="H7" s="8" t="inlineStr"/>
      <c r="I7" s="8" t="inlineStr">
        <is>
          <t>Rejected: already used. Buyer 2 can still use it.</t>
        </is>
      </c>
      <c r="J7" s="8" t="inlineStr"/>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42.25" customHeight="1">
      <c r="A8" s="7" t="inlineStr">
        <is>
          <t>BUY-VOU-007</t>
        </is>
      </c>
      <c r="B8" s="8" t="inlineStr">
        <is>
          <t>Vouchers &amp; Promotions</t>
        </is>
      </c>
      <c r="C8" s="8" t="inlineStr">
        <is>
          <t>Removing an item drops below the minimum spend</t>
        </is>
      </c>
      <c r="D8" s="8" t="inlineStr">
        <is>
          <t>State Transition</t>
        </is>
      </c>
      <c r="E8" s="8" t="inlineStr">
        <is>
          <t>High</t>
        </is>
      </c>
      <c r="F8" s="8" t="inlineStr">
        <is>
          <t>MCH50 applied to a ₱450 checkout (P-02).</t>
        </is>
      </c>
      <c r="G8" s="8" t="inlineStr">
        <is>
          <t>1. Go back, replace P-02 with P-01 Natural-S (₱199).
2. Return to checkout.</t>
        </is>
      </c>
      <c r="H8" s="8" t="inlineStr"/>
      <c r="I8" s="8" t="inlineStr">
        <is>
          <t>MCH50 is removed automatically with a notice. Total is ₱199 + ₱50 = ₱249.00.</t>
        </is>
      </c>
      <c r="J8" s="8" t="inlineStr"/>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67.75" customHeight="1">
      <c r="A9" s="7" t="inlineStr">
        <is>
          <t>BUY-VOU-008</t>
        </is>
      </c>
      <c r="B9" s="8" t="inlineStr">
        <is>
          <t>Vouchers &amp; Promotions</t>
        </is>
      </c>
      <c r="C9" s="8" t="inlineStr">
        <is>
          <t>Percentage voucher respects its cap</t>
        </is>
      </c>
      <c r="D9" s="8" t="inlineStr">
        <is>
          <t>Boundary Value Analysis</t>
        </is>
      </c>
      <c r="E9" s="8" t="inlineStr">
        <is>
          <t>High</t>
        </is>
      </c>
      <c r="F9" s="8" t="inlineStr">
        <is>
          <t>Logged in as Buyer 1. MCH10 claimed (10%, cap ₱100, min ₱500). Only check the checkout page; do not place these orders.</t>
        </is>
      </c>
      <c r="G9" s="8" t="inlineStr">
        <is>
          <t>1. Seller 1 sets P-02 price to ₱499.99; check out 1 × P-02 with MCH10.
2. Set ₱999.00 and check out.
3. Set ₱1,000.00 and check out.
4. Check out 1 × P-03 (₱1,250).</t>
        </is>
      </c>
      <c r="H9" s="8" t="inlineStr">
        <is>
          <t>P-02 at ₱499.99 / ₱999.00 / ₱1,000.00; P-03</t>
        </is>
      </c>
      <c r="I9" s="8" t="inlineStr">
        <is>
          <t>₱499.99: not applicable. ₱999.00 → ₱99.90 off. ₱1,000.00 → ₱100.00 off. ₱1,250 → ₱100.00 off (cap, not ₱125.00).</t>
        </is>
      </c>
      <c r="J9" s="8" t="inlineStr"/>
      <c r="K9" s="5" t="inlineStr">
        <is>
          <t xml:space="preserve">No complete execution of this workbook scenario has been recorded.</t>
        </is>
      </c>
      <c r="L9" s="5" t="inlineStr">
        <is>
          <t xml:space="preserve">UNVERIFIED</t>
        </is>
      </c>
      <c r="M9" s="5" t="inlineStr">
        <is>
          <t xml:space="preserve">NOT CERTIFIED. UNVERIFIED: No complete execution of this workbook scenario has been recorded.
Evidence: No completed execution evidence.</t>
        </is>
      </c>
    </row>
    <row r="10" ht="55" customHeight="1">
      <c r="A10" s="7" t="inlineStr">
        <is>
          <t>BUY-VOU-009</t>
        </is>
      </c>
      <c r="B10" s="8" t="inlineStr">
        <is>
          <t>Vouchers &amp; Promotions</t>
        </is>
      </c>
      <c r="C10" s="8" t="inlineStr">
        <is>
          <t>Shipping voucher larger than shipping</t>
        </is>
      </c>
      <c r="D10" s="8" t="inlineStr">
        <is>
          <t>Boundary Value Analysis</t>
        </is>
      </c>
      <c r="E10" s="8" t="inlineStr">
        <is>
          <t>Medium</t>
        </is>
      </c>
      <c r="F10" s="8" t="inlineStr">
        <is>
          <t>Logged in as Buyer 1. FREESHIP claimed (up to ₱50, min ₱300).</t>
        </is>
      </c>
      <c r="G10" s="8" t="inlineStr">
        <is>
          <t>1. Check out 1 × P-02 to ADDR-1 (0.8 kg, ₱50 shipping) with FREESHIP.
2. Check out P-02 + P-01 Natural-M to ADDR-1 (1.2 kg, ₱65 shipping) with FREESHIP.</t>
        </is>
      </c>
      <c r="H10" s="8" t="inlineStr"/>
      <c r="I10" s="8" t="inlineStr">
        <is>
          <t>₱50 shipping → ₱0.00 shipping (not negative). ₱65 shipping → ₱15.00. Merchandise amounts are unchanged.</t>
        </is>
      </c>
      <c r="J10" s="8" t="inlineStr"/>
      <c r="K10" s="5" t="inlineStr">
        <is>
          <t xml:space="preserve">No complete execution of this workbook scenario has been recorded.</t>
        </is>
      </c>
      <c r="L10" s="5" t="inlineStr">
        <is>
          <t xml:space="preserve">UNVERIFIED</t>
        </is>
      </c>
      <c r="M10" s="5" t="inlineStr">
        <is>
          <t xml:space="preserve">NOT CERTIFIED. UNVERIFIED: No complete execution of this workbook scenario has been recorded.
Evidence: No completed execution evidence.</t>
        </is>
      </c>
    </row>
    <row r="11" ht="42.25" customHeight="1">
      <c r="A11" s="7" t="inlineStr">
        <is>
          <t>BUY-VOU-010</t>
        </is>
      </c>
      <c r="B11" s="8" t="inlineStr">
        <is>
          <t>Vouchers &amp; Promotions</t>
        </is>
      </c>
      <c r="C11" s="8" t="inlineStr">
        <is>
          <t>Total never negative</t>
        </is>
      </c>
      <c r="D11" s="8" t="inlineStr">
        <is>
          <t>Error Guessing</t>
        </is>
      </c>
      <c r="E11" s="8" t="inlineStr">
        <is>
          <t>Medium</t>
        </is>
      </c>
      <c r="F11" s="8" t="inlineStr">
        <is>
          <t>Seller 1 sets P-02 price to ₱100.00 and creates voucher MCHT100: ₱100 off, min spend ₱100.</t>
        </is>
      </c>
      <c r="G11" s="8" t="inlineStr">
        <is>
          <t>1. Check out 1 × P-02 with MCHT100.</t>
        </is>
      </c>
      <c r="H11" s="8" t="inlineStr"/>
      <c r="I11" s="8" t="inlineStr">
        <is>
          <t>Merchandise total is ₱0.00, never negative; shipping is still charged.</t>
        </is>
      </c>
      <c r="J11" s="8" t="inlineStr"/>
      <c r="K11" s="5" t="inlineStr">
        <is>
          <t xml:space="preserve">No complete execution of this workbook scenario has been recorded.</t>
        </is>
      </c>
      <c r="L11" s="5" t="inlineStr">
        <is>
          <t xml:space="preserve">UNVERIFIED</t>
        </is>
      </c>
      <c r="M11" s="5" t="inlineStr">
        <is>
          <t xml:space="preserve">NOT CERTIFIED. UNVERIFIED: No complete execution of this workbook scenario has been recorded.
Evidence: No completed execution evidence.</t>
        </is>
      </c>
    </row>
    <row r="12" ht="29.5" customHeight="1">
      <c r="A12" s="7" t="inlineStr">
        <is>
          <t>BUY-VOU-011</t>
        </is>
      </c>
      <c r="B12" s="8" t="inlineStr">
        <is>
          <t>Vouchers &amp; Promotions</t>
        </is>
      </c>
      <c r="C12" s="8" t="inlineStr">
        <is>
          <t>Voucher on items already on sale</t>
        </is>
      </c>
      <c r="D12" s="8" t="inlineStr">
        <is>
          <t>Decision Table</t>
        </is>
      </c>
      <c r="E12" s="8" t="inlineStr">
        <is>
          <t>Medium</t>
        </is>
      </c>
      <c r="F12" s="8" t="inlineStr">
        <is>
          <t>P-02 on sale at ₱360. MCH50 claimed.</t>
        </is>
      </c>
      <c r="G12" s="8" t="inlineStr">
        <is>
          <t>1. Check out 1 × P-02 with MCH50.</t>
        </is>
      </c>
      <c r="H12" s="8" t="inlineStr"/>
      <c r="I12" s="8" t="inlineStr">
        <is>
          <t>MCH50 applies (₱360 ≥ ₱300). Merchandise ₱310.00, total ₱360.00 with ₱50 shipping.</t>
        </is>
      </c>
      <c r="J12" s="8" t="inlineStr">
        <is>
          <t>A4</t>
        </is>
      </c>
      <c r="K12" s="5" t="inlineStr">
        <is>
          <t xml:space="preserve">No complete execution of this workbook scenario has been recorded.</t>
        </is>
      </c>
      <c r="L12" s="5" t="inlineStr">
        <is>
          <t xml:space="preserve">UNVERIFIED</t>
        </is>
      </c>
      <c r="M12" s="5" t="inlineStr">
        <is>
          <t xml:space="preserve">NOT CERTIFIED. UNVERIFIED: No complete execution of this workbook scenario has been recorded.
Evidence: No completed execution evidence.</t>
        </is>
      </c>
    </row>
    <row r="13" ht="29.5" customHeight="1">
      <c r="A13" s="7" t="inlineStr">
        <is>
          <t>BUY-VOU-012</t>
        </is>
      </c>
      <c r="B13" s="8" t="inlineStr">
        <is>
          <t>Vouchers &amp; Promotions</t>
        </is>
      </c>
      <c r="C13" s="8" t="inlineStr">
        <is>
          <t>Voucher returned after cancellation</t>
        </is>
      </c>
      <c r="D13" s="8" t="inlineStr">
        <is>
          <t>State Transition</t>
        </is>
      </c>
      <c r="E13" s="8" t="inlineStr">
        <is>
          <t>Medium</t>
        </is>
      </c>
      <c r="F13" s="8" t="inlineStr">
        <is>
          <t>An order used MCH50 and is still cancellable.</t>
        </is>
      </c>
      <c r="G13" s="8" t="inlineStr">
        <is>
          <t>1. Cancel the order.
2. Open My Vouchers.</t>
        </is>
      </c>
      <c r="H13" s="8" t="inlineStr"/>
      <c r="I13" s="8" t="inlineStr">
        <is>
          <t>MCH50 is back in the wallet, usable again before it expires.</t>
        </is>
      </c>
      <c r="J13" s="8" t="inlineStr">
        <is>
          <t>A21</t>
        </is>
      </c>
      <c r="K13" s="5" t="inlineStr">
        <is>
          <t xml:space="preserve">No complete execution of this workbook scenario has been recorded.</t>
        </is>
      </c>
      <c r="L13" s="5" t="inlineStr">
        <is>
          <t xml:space="preserve">UNVERIFIED</t>
        </is>
      </c>
      <c r="M13" s="5" t="inlineStr">
        <is>
          <t xml:space="preserve">NOT CERTIFIED. UNVERIFIED: No complete execution of this workbook scenario has been recorded.
Evidence: No completed execution evidence.</t>
        </is>
      </c>
    </row>
  </sheetData>
  <autoFilter ref="A1:M13"/>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93.25" customHeight="1">
      <c r="A2" s="7" t="inlineStr">
        <is>
          <t>BUY-CHK-001</t>
        </is>
      </c>
      <c r="B2" s="8" t="inlineStr">
        <is>
          <t>Checkout</t>
        </is>
      </c>
      <c r="C2" s="8" t="inlineStr">
        <is>
          <t>Checkout with the worked example</t>
        </is>
      </c>
      <c r="D2" s="8" t="inlineStr">
        <is>
          <t>Use Case Testing</t>
        </is>
      </c>
      <c r="E2" s="8" t="inlineStr">
        <is>
          <t>High</t>
        </is>
      </c>
      <c r="F2" s="8" t="inlineStr">
        <is>
          <t>Logged in as Buyer 1. Cart holds the worked checkout example items (Seller 1: Tote Natural-M, Rattan Basket; Seller 2: USB-C Charger). MCH50, PLAT100 and FREESHIP are claimed. ADDR-1 is default.</t>
        </is>
      </c>
      <c r="G2" s="8" t="inlineStr">
        <is>
          <t>1. Open checkout with ADDR-1.
2. Apply MCH50, PLAT100 and FREESHIP.
3. Choose COD and click Place Order.
4. Open both new orders.</t>
        </is>
      </c>
      <c r="H2" s="8" t="inlineStr">
        <is>
          <t>Worked checkout example</t>
        </is>
      </c>
      <c r="I2" s="8" t="inlineStr">
        <is>
          <t>Summary: merchandise ₱1,098.00, shipping ₱185.00 (₱65 + ₱120), store voucher −₱50.00, platform voucher −₱100.00, shipping voucher −₱50.00, total ₱1,083.00. Two orders are created, one per store, whose totals add up to ₱1,083.00. Cart no longer has these items.</t>
        </is>
      </c>
      <c r="J2" s="8" t="inlineStr">
        <is>
          <t>A2, A8, A20</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BUY-CHK-002</t>
        </is>
      </c>
      <c r="B3" s="8" t="inlineStr">
        <is>
          <t>Checkout</t>
        </is>
      </c>
      <c r="C3" s="8" t="inlineStr">
        <is>
          <t>Shipping fee per store and per address</t>
        </is>
      </c>
      <c r="D3" s="8" t="inlineStr">
        <is>
          <t>Equivalence Partitioning</t>
        </is>
      </c>
      <c r="E3" s="8" t="inlineStr">
        <is>
          <t>High</t>
        </is>
      </c>
      <c r="F3" s="8" t="inlineStr">
        <is>
          <t>Logged in as Buyer 1.</t>
        </is>
      </c>
      <c r="G3" s="8" t="inlineStr">
        <is>
          <t>1. Check out P-02 with ADDR-1.
2. Switch to ADDR-3.</t>
        </is>
      </c>
      <c r="H3" s="8" t="inlineStr"/>
      <c r="I3" s="8" t="inlineStr">
        <is>
          <t>ADDR-1 (NCR): ₱50.00. ADDR-3 (Visayas): ₱120.00. The total updates immediately.</t>
        </is>
      </c>
      <c r="J3" s="8" t="inlineStr">
        <is>
          <t>A20</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BUY-CHK-003</t>
        </is>
      </c>
      <c r="B4" s="8" t="inlineStr">
        <is>
          <t>Checkout</t>
        </is>
      </c>
      <c r="C4" s="8" t="inlineStr">
        <is>
          <t>Shipping weight at the 1 kg boundary</t>
        </is>
      </c>
      <c r="D4" s="8" t="inlineStr">
        <is>
          <t>Boundary Value Analysis</t>
        </is>
      </c>
      <c r="E4" s="8" t="inlineStr">
        <is>
          <t>Medium</t>
        </is>
      </c>
      <c r="F4" s="8" t="inlineStr">
        <is>
          <t>Logged in as Buyer 2 (ADDR-3, Visayas).</t>
        </is>
      </c>
      <c r="G4" s="8" t="inlineStr">
        <is>
          <t>1. Check out 5 × P-05 from Seller 2.
2. Change the quantity to 6.</t>
        </is>
      </c>
      <c r="H4" s="8" t="inlineStr">
        <is>
          <t>P-05 is 0.2 kg: 5 units = 1.0 kg, 6 units = 1.2 kg</t>
        </is>
      </c>
      <c r="I4" s="8" t="inlineStr">
        <is>
          <t>1.0 kg is charged as 1 kg: ₱60.00. 1.2 kg is charged as 2 kg: ₱80.00.</t>
        </is>
      </c>
      <c r="J4" s="8" t="inlineStr">
        <is>
          <t>A20</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BUY-CHK-004</t>
        </is>
      </c>
      <c r="B5" s="8" t="inlineStr">
        <is>
          <t>Checkout</t>
        </is>
      </c>
      <c r="C5" s="8" t="inlineStr">
        <is>
          <t>Unserviceable address</t>
        </is>
      </c>
      <c r="D5" s="8" t="inlineStr">
        <is>
          <t>Equivalence Partitioning</t>
        </is>
      </c>
      <c r="E5" s="8" t="inlineStr">
        <is>
          <t>High</t>
        </is>
      </c>
      <c r="F5" s="8" t="inlineStr">
        <is>
          <t>Logged in as Buyer 1.</t>
        </is>
      </c>
      <c r="G5" s="8" t="inlineStr">
        <is>
          <t>1. Select ADDR-4 (Itbayat, Batanes).</t>
        </is>
      </c>
      <c r="H5" s="8" t="inlineStr"/>
      <c r="I5" s="8" t="inlineStr">
        <is>
          <t>A message says the area is not serviceable and Place Order is disabled. No order can be created.</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BUY-CHK-005</t>
        </is>
      </c>
      <c r="B6" s="8" t="inlineStr">
        <is>
          <t>Checkout</t>
        </is>
      </c>
      <c r="C6" s="8" t="inlineStr">
        <is>
          <t>Note to seller length</t>
        </is>
      </c>
      <c r="D6" s="8" t="inlineStr">
        <is>
          <t>Boundary Value Analysis</t>
        </is>
      </c>
      <c r="E6" s="8" t="inlineStr">
        <is>
          <t>Low</t>
        </is>
      </c>
      <c r="F6" s="8" t="inlineStr">
        <is>
          <t>Logged in as Buyer 1.</t>
        </is>
      </c>
      <c r="G6" s="8" t="inlineStr">
        <is>
          <t>1. Enter 200 characters and place the order.
2. Try 201 characters.</t>
        </is>
      </c>
      <c r="H6" s="8" t="inlineStr">
        <is>
          <t>Note: Paki-wrap po as gift … (to 200)</t>
        </is>
      </c>
      <c r="I6" s="8" t="inlineStr">
        <is>
          <t>200 characters are saved and shown in full on the seller's order. 201 cannot be entered or is rejected.</t>
        </is>
      </c>
      <c r="J6" s="8" t="inlineStr">
        <is>
          <t>A25</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BUY-CHK-006</t>
        </is>
      </c>
      <c r="B7" s="8" t="inlineStr">
        <is>
          <t>Checkout</t>
        </is>
      </c>
      <c r="C7" s="8" t="inlineStr">
        <is>
          <t>No payment method selected</t>
        </is>
      </c>
      <c r="D7" s="8" t="inlineStr">
        <is>
          <t>Equivalence Partitioning</t>
        </is>
      </c>
      <c r="E7" s="8" t="inlineStr">
        <is>
          <t>Medium</t>
        </is>
      </c>
      <c r="F7" s="8" t="inlineStr">
        <is>
          <t>Logged in as Buyer 1.</t>
        </is>
      </c>
      <c r="G7" s="8" t="inlineStr">
        <is>
          <t>1. Clear the payment method (if possible) and click Place Order.</t>
        </is>
      </c>
      <c r="H7" s="8" t="inlineStr"/>
      <c r="I7" s="8" t="inlineStr">
        <is>
          <t>Blocked until a payment method is chosen.</t>
        </is>
      </c>
      <c r="J7" s="8" t="inlineStr"/>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42.25" customHeight="1">
      <c r="A8" s="7" t="inlineStr">
        <is>
          <t>BUY-CHK-007</t>
        </is>
      </c>
      <c r="B8" s="8" t="inlineStr">
        <is>
          <t>Checkout</t>
        </is>
      </c>
      <c r="C8" s="8" t="inlineStr">
        <is>
          <t>Double-click Place Order</t>
        </is>
      </c>
      <c r="D8" s="8" t="inlineStr">
        <is>
          <t>Error Guessing</t>
        </is>
      </c>
      <c r="E8" s="8" t="inlineStr">
        <is>
          <t>High</t>
        </is>
      </c>
      <c r="F8" s="8" t="inlineStr">
        <is>
          <t>Logged in as Buyer 1. P-02 stock is 20.</t>
        </is>
      </c>
      <c r="G8" s="8" t="inlineStr">
        <is>
          <t>1. Double-click Place Order.
2. Press Back and click Place Order again.</t>
        </is>
      </c>
      <c r="H8" s="8" t="inlineStr"/>
      <c r="I8" s="8" t="inlineStr">
        <is>
          <t>Exactly one order exists. P-02 stock is 19. The resubmit shows the existing order or a message; it does not create another.</t>
        </is>
      </c>
      <c r="J8" s="8" t="inlineStr">
        <is>
          <t>A37</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42.25" customHeight="1">
      <c r="A9" s="7" t="inlineStr">
        <is>
          <t>BUY-CHK-008</t>
        </is>
      </c>
      <c r="B9" s="8" t="inlineStr">
        <is>
          <t>Checkout</t>
        </is>
      </c>
      <c r="C9" s="8" t="inlineStr">
        <is>
          <t>Price changed during checkout</t>
        </is>
      </c>
      <c r="D9" s="8" t="inlineStr">
        <is>
          <t>Error Guessing</t>
        </is>
      </c>
      <c r="E9" s="8" t="inlineStr">
        <is>
          <t>High</t>
        </is>
      </c>
      <c r="F9" s="8" t="inlineStr">
        <is>
          <t>Logged in as Buyer 1. Checkout page open with P-02 at ₱450.</t>
        </is>
      </c>
      <c r="G9" s="8" t="inlineStr">
        <is>
          <t>1. Seller 1 changes P-02 to ₱480.
2. Click Place Order.</t>
        </is>
      </c>
      <c r="H9" s="8" t="inlineStr"/>
      <c r="I9" s="8" t="inlineStr">
        <is>
          <t>The order is not placed at ₱450. A message shows the new price and the summary updates to ₱480 for the buyer to confirm.</t>
        </is>
      </c>
      <c r="J9" s="8" t="inlineStr"/>
      <c r="K9" s="5" t="inlineStr">
        <is>
          <t xml:space="preserve">No complete execution of this workbook scenario has been recorded.</t>
        </is>
      </c>
      <c r="L9" s="5" t="inlineStr">
        <is>
          <t xml:space="preserve">UNVERIFIED</t>
        </is>
      </c>
      <c r="M9" s="5" t="inlineStr">
        <is>
          <t xml:space="preserve">NOT CERTIFIED. UNVERIFIED: No complete execution of this workbook scenario has been recorded.
Evidence: No completed execution evidence.</t>
        </is>
      </c>
    </row>
    <row r="10" ht="29.5" customHeight="1">
      <c r="A10" s="7" t="inlineStr">
        <is>
          <t>BUY-CHK-009</t>
        </is>
      </c>
      <c r="B10" s="8" t="inlineStr">
        <is>
          <t>Checkout</t>
        </is>
      </c>
      <c r="C10" s="8" t="inlineStr">
        <is>
          <t>Stock ran out during checkout</t>
        </is>
      </c>
      <c r="D10" s="8" t="inlineStr">
        <is>
          <t>Error Guessing</t>
        </is>
      </c>
      <c r="E10" s="8" t="inlineStr">
        <is>
          <t>High</t>
        </is>
      </c>
      <c r="F10" s="8" t="inlineStr">
        <is>
          <t>Buyer 1's checkout is open with P-03 (stock 1).</t>
        </is>
      </c>
      <c r="G10" s="8" t="inlineStr">
        <is>
          <t>1. Buyer 2 buys P-03 first.
2. Buyer 1 clicks Place Order.</t>
        </is>
      </c>
      <c r="H10" s="8" t="inlineStr"/>
      <c r="I10" s="8" t="inlineStr">
        <is>
          <t>Buyer 1's order is blocked with an out-of-stock message. Stock is 0.</t>
        </is>
      </c>
      <c r="J10" s="8" t="inlineStr">
        <is>
          <t>A3</t>
        </is>
      </c>
      <c r="K10" s="5" t="inlineStr">
        <is>
          <t xml:space="preserve">No complete execution of this workbook scenario has been recorded.</t>
        </is>
      </c>
      <c r="L10" s="5" t="inlineStr">
        <is>
          <t xml:space="preserve">UNVERIFIED</t>
        </is>
      </c>
      <c r="M10" s="5" t="inlineStr">
        <is>
          <t xml:space="preserve">NOT CERTIFIED. UNVERIFIED: No complete execution of this workbook scenario has been recorded.
Evidence: No completed execution evidence.</t>
        </is>
      </c>
    </row>
    <row r="11" ht="42.25" customHeight="1">
      <c r="A11" s="7" t="inlineStr">
        <is>
          <t>BUY-CHK-010</t>
        </is>
      </c>
      <c r="B11" s="8" t="inlineStr">
        <is>
          <t>Checkout</t>
        </is>
      </c>
      <c r="C11" s="8" t="inlineStr">
        <is>
          <t>Voucher becomes invalid during checkout</t>
        </is>
      </c>
      <c r="D11" s="8" t="inlineStr">
        <is>
          <t>Error Guessing</t>
        </is>
      </c>
      <c r="E11" s="8" t="inlineStr">
        <is>
          <t>Medium</t>
        </is>
      </c>
      <c r="F11" s="8" t="inlineStr">
        <is>
          <t>Logged in as Buyer 1. MCH50 applied on the checkout page.</t>
        </is>
      </c>
      <c r="G11" s="8" t="inlineStr">
        <is>
          <t>1. Seller 1 ends MCH50.
2. Click Place Order.</t>
        </is>
      </c>
      <c r="H11" s="8" t="inlineStr"/>
      <c r="I11" s="8" t="inlineStr">
        <is>
          <t>The order is not placed with MCH50. A message says the voucher is no longer valid and the total is updated.</t>
        </is>
      </c>
      <c r="J11" s="8" t="inlineStr">
        <is>
          <t>A27</t>
        </is>
      </c>
      <c r="K11" s="5" t="inlineStr">
        <is>
          <t xml:space="preserve">No complete execution of this workbook scenario has been recorded.</t>
        </is>
      </c>
      <c r="L11" s="5" t="inlineStr">
        <is>
          <t xml:space="preserve">UNVERIFIED</t>
        </is>
      </c>
      <c r="M11" s="5" t="inlineStr">
        <is>
          <t xml:space="preserve">NOT CERTIFIED. UNVERIFIED: No complete execution of this workbook scenario has been recorded.
Evidence: No completed execution evidence.</t>
        </is>
      </c>
    </row>
    <row r="12" ht="42.25" customHeight="1">
      <c r="A12" s="7" t="inlineStr">
        <is>
          <t>BUY-CHK-011</t>
        </is>
      </c>
      <c r="B12" s="8" t="inlineStr">
        <is>
          <t>Checkout</t>
        </is>
      </c>
      <c r="C12" s="8" t="inlineStr">
        <is>
          <t>Tampered price or total in the request</t>
        </is>
      </c>
      <c r="D12" s="8" t="inlineStr">
        <is>
          <t>Error Guessing</t>
        </is>
      </c>
      <c r="E12" s="8" t="inlineStr">
        <is>
          <t>High</t>
        </is>
      </c>
      <c r="F12" s="8" t="inlineStr">
        <is>
          <t>Logged in as Buyer 1.</t>
        </is>
      </c>
      <c r="G12" s="8" t="inlineStr">
        <is>
          <t>1. Capture the Place Order request and change the item price or total to ₱1.00.
2. Send it.</t>
        </is>
      </c>
      <c r="H12" s="8" t="inlineStr"/>
      <c r="I12" s="8" t="inlineStr">
        <is>
          <t>The server ignores or rejects the tampered amount. Any created order uses the real price.</t>
        </is>
      </c>
      <c r="J12" s="8" t="inlineStr">
        <is>
          <t>A22</t>
        </is>
      </c>
      <c r="K12" s="5" t="inlineStr">
        <is>
          <t xml:space="preserve">No complete execution of this workbook scenario has been recorded.</t>
        </is>
      </c>
      <c r="L12" s="5" t="inlineStr">
        <is>
          <t xml:space="preserve">UNVERIFIED</t>
        </is>
      </c>
      <c r="M12" s="5" t="inlineStr">
        <is>
          <t xml:space="preserve">NOT CERTIFIED. UNVERIFIED: No complete execution of this workbook scenario has been recorded.
Evidence: No completed execution evidence.</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BUY-PAY-001</t>
        </is>
      </c>
      <c r="B2" s="8" t="inlineStr">
        <is>
          <t>Payment</t>
        </is>
      </c>
      <c r="C2" s="8" t="inlineStr">
        <is>
          <t>COD order</t>
        </is>
      </c>
      <c r="D2" s="8" t="inlineStr">
        <is>
          <t>Use Case Testing</t>
        </is>
      </c>
      <c r="E2" s="8" t="inlineStr">
        <is>
          <t>High</t>
        </is>
      </c>
      <c r="F2" s="8" t="inlineStr">
        <is>
          <t>Logged in as Buyer 1.</t>
        </is>
      </c>
      <c r="G2" s="8" t="inlineStr">
        <is>
          <t>1. Place an order for P-02 with COD.
2. Open the order.</t>
        </is>
      </c>
      <c r="H2" s="8" t="inlineStr"/>
      <c r="I2" s="8" t="inlineStr">
        <is>
          <t>The order goes straight to To Ship. Payment shows COD ₱500.00 to collect on delivery.</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BUY-PAY-002</t>
        </is>
      </c>
      <c r="B3" s="8" t="inlineStr">
        <is>
          <t>Payment</t>
        </is>
      </c>
      <c r="C3" s="8" t="inlineStr">
        <is>
          <t>E-wallet or card payment succeeds</t>
        </is>
      </c>
      <c r="D3" s="8" t="inlineStr">
        <is>
          <t>Use Case Testing</t>
        </is>
      </c>
      <c r="E3" s="8" t="inlineStr">
        <is>
          <t>High</t>
        </is>
      </c>
      <c r="F3" s="8" t="inlineStr">
        <is>
          <t>Logged in as Buyer 1.</t>
        </is>
      </c>
      <c r="G3" s="8" t="inlineStr">
        <is>
          <t>1. Choose the e-wallet (sandbox).
2. Complete payment.</t>
        </is>
      </c>
      <c r="H3" s="8" t="inlineStr">
        <is>
          <t>Use the gateway's sandbox account or test card</t>
        </is>
      </c>
      <c r="I3" s="8" t="inlineStr">
        <is>
          <t>The order moves To Pay → To Ship and stores a payment reference. The amount charged equals the order total exactly.</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BUY-PAY-003</t>
        </is>
      </c>
      <c r="B4" s="8" t="inlineStr">
        <is>
          <t>Payment</t>
        </is>
      </c>
      <c r="C4" s="8" t="inlineStr">
        <is>
          <t>Payment fails</t>
        </is>
      </c>
      <c r="D4" s="8" t="inlineStr">
        <is>
          <t>Equivalence Partitioning</t>
        </is>
      </c>
      <c r="E4" s="8" t="inlineStr">
        <is>
          <t>High</t>
        </is>
      </c>
      <c r="F4" s="8" t="inlineStr">
        <is>
          <t>Logged in as Buyer 1.</t>
        </is>
      </c>
      <c r="G4" s="8" t="inlineStr">
        <is>
          <t>1. Use the sandbox's declined card or failure option.</t>
        </is>
      </c>
      <c r="H4" s="8" t="inlineStr"/>
      <c r="I4" s="8" t="inlineStr">
        <is>
          <t>The order stays To Pay with 'Payment failed' and Pay Again. It is not marked paid and the seller cannot ship it.</t>
        </is>
      </c>
      <c r="J4" s="8" t="inlineStr"/>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BUY-PAY-004</t>
        </is>
      </c>
      <c r="B5" s="8" t="inlineStr">
        <is>
          <t>Payment</t>
        </is>
      </c>
      <c r="C5" s="8" t="inlineStr">
        <is>
          <t>Buyer cancels at the gateway</t>
        </is>
      </c>
      <c r="D5" s="8" t="inlineStr">
        <is>
          <t>Equivalence Partitioning</t>
        </is>
      </c>
      <c r="E5" s="8" t="inlineStr">
        <is>
          <t>Medium</t>
        </is>
      </c>
      <c r="F5" s="8" t="inlineStr">
        <is>
          <t>Logged in as Buyer 1.</t>
        </is>
      </c>
      <c r="G5" s="8" t="inlineStr">
        <is>
          <t>1. On the gateway page click Cancel / Back.</t>
        </is>
      </c>
      <c r="H5" s="8" t="inlineStr"/>
      <c r="I5" s="8" t="inlineStr">
        <is>
          <t>Buyer returns to the order in To Pay. No duplicate order is created.</t>
        </is>
      </c>
      <c r="J5" s="8" t="inlineStr">
        <is>
          <t>A37</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42.25" customHeight="1">
      <c r="A6" s="7" t="inlineStr">
        <is>
          <t>BUY-PAY-005</t>
        </is>
      </c>
      <c r="B6" s="8" t="inlineStr">
        <is>
          <t>Payment</t>
        </is>
      </c>
      <c r="C6" s="8" t="inlineStr">
        <is>
          <t>Browser closed on the gateway</t>
        </is>
      </c>
      <c r="D6" s="8" t="inlineStr">
        <is>
          <t>Error Guessing</t>
        </is>
      </c>
      <c r="E6" s="8" t="inlineStr">
        <is>
          <t>Medium</t>
        </is>
      </c>
      <c r="F6" s="8" t="inlineStr">
        <is>
          <t>Logged in as Buyer 1.</t>
        </is>
      </c>
      <c r="G6" s="8" t="inlineStr">
        <is>
          <t>1. Close the browser on the gateway page after paying.
2. Reopen My Orders.</t>
        </is>
      </c>
      <c r="H6" s="8" t="inlineStr"/>
      <c r="I6" s="8" t="inlineStr">
        <is>
          <t>The order shows To Ship once the gateway confirms. It is charged once only.</t>
        </is>
      </c>
      <c r="J6" s="8" t="inlineStr">
        <is>
          <t>A37</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BUY-PAY-006</t>
        </is>
      </c>
      <c r="B7" s="8" t="inlineStr">
        <is>
          <t>Payment</t>
        </is>
      </c>
      <c r="C7" s="8" t="inlineStr">
        <is>
          <t>Unpaid order auto-cancels</t>
        </is>
      </c>
      <c r="D7" s="8" t="inlineStr">
        <is>
          <t>State Transition</t>
        </is>
      </c>
      <c r="E7" s="8" t="inlineStr">
        <is>
          <t>High</t>
        </is>
      </c>
      <c r="F7" s="8" t="inlineStr">
        <is>
          <t>Logged in as Buyer 1. An e-wallet order for P-02 with MCH50 is To Pay; stock is 19.</t>
        </is>
      </c>
      <c r="G7" s="8" t="inlineStr">
        <is>
          <t>1. Wait past 1 hour.
2. Check the order, P-02 stock and My Vouchers.</t>
        </is>
      </c>
      <c r="H7" s="8" t="inlineStr"/>
      <c r="I7" s="8" t="inlineStr">
        <is>
          <t>The order is Cancelled (reason: unpaid). Stock is 20. MCH50 is back in the wallet.</t>
        </is>
      </c>
      <c r="J7" s="8" t="inlineStr">
        <is>
          <t>A3, A6, A21</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42.25" customHeight="1">
      <c r="A8" s="7" t="inlineStr">
        <is>
          <t>BUY-PAY-007</t>
        </is>
      </c>
      <c r="B8" s="8" t="inlineStr">
        <is>
          <t>Payment</t>
        </is>
      </c>
      <c r="C8" s="8" t="inlineStr">
        <is>
          <t>Pay just before vs after the auto-cancel time</t>
        </is>
      </c>
      <c r="D8" s="8" t="inlineStr">
        <is>
          <t>Boundary Value Analysis</t>
        </is>
      </c>
      <c r="E8" s="8" t="inlineStr">
        <is>
          <t>Medium</t>
        </is>
      </c>
      <c r="F8" s="8" t="inlineStr">
        <is>
          <t>Logged in as Buyer 1.</t>
        </is>
      </c>
      <c r="G8" s="8" t="inlineStr">
        <is>
          <t>1. Pay one order at 59 minutes.
2. Try to pay another at 61 minutes.</t>
        </is>
      </c>
      <c r="H8" s="8" t="inlineStr"/>
      <c r="I8" s="8" t="inlineStr">
        <is>
          <t>The 59-minute payment succeeds. The 61-minute order is already Cancelled and Pay is not available.</t>
        </is>
      </c>
      <c r="J8" s="8" t="inlineStr">
        <is>
          <t>A6</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BUY-TRK-001</t>
        </is>
      </c>
      <c r="B2" s="8" t="inlineStr">
        <is>
          <t>Order Tracking &amp; History</t>
        </is>
      </c>
      <c r="C2" s="8" t="inlineStr">
        <is>
          <t>Orders appear in the correct tab</t>
        </is>
      </c>
      <c r="D2" s="8" t="inlineStr">
        <is>
          <t>State Transition</t>
        </is>
      </c>
      <c r="E2" s="8" t="inlineStr">
        <is>
          <t>High</t>
        </is>
      </c>
      <c r="F2" s="8" t="inlineStr">
        <is>
          <t>Logged in as Buyer 1. Orders exist in each status.</t>
        </is>
      </c>
      <c r="G2" s="8" t="inlineStr">
        <is>
          <t>1. Open each tab: To Pay, To Ship, To Receive, Completed, Cancelled, Return/Refund.
2. Compare tab counts with rows.</t>
        </is>
      </c>
      <c r="H2" s="8" t="inlineStr"/>
      <c r="I2" s="8" t="inlineStr">
        <is>
          <t>Each order is in exactly one tab matching its status; counts match.</t>
        </is>
      </c>
      <c r="J2" s="8" t="inlineStr">
        <is>
          <t>A10</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67.75" customHeight="1">
      <c r="A3" s="7" t="inlineStr">
        <is>
          <t>BUY-TRK-002</t>
        </is>
      </c>
      <c r="B3" s="8" t="inlineStr">
        <is>
          <t>Order Tracking &amp; History</t>
        </is>
      </c>
      <c r="C3" s="8" t="inlineStr">
        <is>
          <t>Timeline matches seller, rider and logistics updates</t>
        </is>
      </c>
      <c r="D3" s="8" t="inlineStr">
        <is>
          <t>State Transition</t>
        </is>
      </c>
      <c r="E3" s="8" t="inlineStr">
        <is>
          <t>High</t>
        </is>
      </c>
      <c r="F3" s="8" t="inlineStr">
        <is>
          <t>Logged in as Buyer 1. A COD order is Ready for Pickup.</t>
        </is>
      </c>
      <c r="G3" s="8" t="inlineStr">
        <is>
          <t>1. Have Logistics 1 assign Rider 1, Rider 1 pick up, Logistics 1 scan at hub, Rider 1 go Out for Delivery.
2. Refresh Buyer 1's order after each step.</t>
        </is>
      </c>
      <c r="H3" s="8" t="inlineStr"/>
      <c r="I3" s="8" t="inlineStr">
        <is>
          <t>Each event appears once, in order, with the time it happened. The order moves to To Receive at Picked Up.</t>
        </is>
      </c>
      <c r="J3" s="8" t="inlineStr">
        <is>
          <t>A10</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BUY-TRK-003</t>
        </is>
      </c>
      <c r="B4" s="8" t="inlineStr">
        <is>
          <t>Order Tracking &amp; History</t>
        </is>
      </c>
      <c r="C4" s="8" t="inlineStr">
        <is>
          <t>Order Received button</t>
        </is>
      </c>
      <c r="D4" s="8" t="inlineStr">
        <is>
          <t>State Transition</t>
        </is>
      </c>
      <c r="E4" s="8" t="inlineStr">
        <is>
          <t>High</t>
        </is>
      </c>
      <c r="F4" s="8" t="inlineStr">
        <is>
          <t>Logged in as Buyer 1. An order is Delivered.</t>
        </is>
      </c>
      <c r="G4" s="8" t="inlineStr">
        <is>
          <t>1. Click Order Received and confirm.
2. Check Seller 1's earnings.</t>
        </is>
      </c>
      <c r="H4" s="8" t="inlineStr"/>
      <c r="I4" s="8" t="inlineStr">
        <is>
          <t>The order moves to Completed and the Rate button appears. Seller 1's earnings for it become Available.</t>
        </is>
      </c>
      <c r="J4" s="8" t="inlineStr">
        <is>
          <t>A11, A15</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BUY-TRK-004</t>
        </is>
      </c>
      <c r="B5" s="8" t="inlineStr">
        <is>
          <t>Order Tracking &amp; History</t>
        </is>
      </c>
      <c r="C5" s="8" t="inlineStr">
        <is>
          <t>Order Received not available before delivery</t>
        </is>
      </c>
      <c r="D5" s="8" t="inlineStr">
        <is>
          <t>State Transition</t>
        </is>
      </c>
      <c r="E5" s="8" t="inlineStr">
        <is>
          <t>Medium</t>
        </is>
      </c>
      <c r="F5" s="8" t="inlineStr">
        <is>
          <t>Logged in as Buyer 1. An order is Out for Delivery.</t>
        </is>
      </c>
      <c r="G5" s="8" t="inlineStr">
        <is>
          <t>1. Look for Order Received.
2. Try the request directly if possible.</t>
        </is>
      </c>
      <c r="H5" s="8" t="inlineStr"/>
      <c r="I5" s="8" t="inlineStr">
        <is>
          <t>Not shown; a direct request is rejected.</t>
        </is>
      </c>
      <c r="J5" s="8" t="inlineStr">
        <is>
          <t>A11</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BUY-TRK-005</t>
        </is>
      </c>
      <c r="B6" s="8" t="inlineStr">
        <is>
          <t>Order Tracking &amp; History</t>
        </is>
      </c>
      <c r="C6" s="8" t="inlineStr">
        <is>
          <t>Automatic completion</t>
        </is>
      </c>
      <c r="D6" s="8" t="inlineStr">
        <is>
          <t>Boundary Value Analysis</t>
        </is>
      </c>
      <c r="E6" s="8" t="inlineStr">
        <is>
          <t>Medium</t>
        </is>
      </c>
      <c r="F6" s="8" t="inlineStr">
        <is>
          <t>An order was Delivered.</t>
        </is>
      </c>
      <c r="G6" s="8" t="inlineStr">
        <is>
          <t>1. Check it just before and just after 7 days.</t>
        </is>
      </c>
      <c r="H6" s="8" t="inlineStr"/>
      <c r="I6" s="8" t="inlineStr">
        <is>
          <t>To Receive before 7 days; Completed after, and earnings are released.</t>
        </is>
      </c>
      <c r="J6" s="8" t="inlineStr">
        <is>
          <t>A11</t>
        </is>
      </c>
      <c r="K6" s="5" t="inlineStr">
        <is>
          <t xml:space="preserve">The delivered order stayed open at 167:59:59, completed at 168 hours, notified both parties, and did not complete twice. Scheduler operation remains unverified.</t>
        </is>
      </c>
      <c r="L6" s="5" t="inlineStr">
        <is>
          <t xml:space="preserve">PARTIAL</t>
        </is>
      </c>
      <c r="M6" s="5" t="inlineStr">
        <is>
          <t xml:space="preserve">NOT CERTIFIED. PARTIAL: The delivered order stayed open at 167:59:59, completed at 168 hours, notified both parties, and did not complete twice. Scheduler operation remains unverified.
Evidence: regression-final.xml: Tests.Feature.TeacherCheckoutStockTest::test_buy_trk_005_completion_occurs_at_168_hours_after_delivery_despite_other_order_updates; regression-final.xml: Tests.Feature.TeacherCheckoutStockTest::test_buy_trk_005_completion_occurs_at_168_hours_after_delivery_despite_other_order_updates</t>
        </is>
      </c>
    </row>
    <row r="7" ht="29.5" customHeight="1">
      <c r="A7" s="7" t="inlineStr">
        <is>
          <t>BUY-TRK-006</t>
        </is>
      </c>
      <c r="B7" s="8" t="inlineStr">
        <is>
          <t>Order Tracking &amp; History</t>
        </is>
      </c>
      <c r="C7" s="8" t="inlineStr">
        <is>
          <t>Cannot open another buyer's order</t>
        </is>
      </c>
      <c r="D7" s="8" t="inlineStr">
        <is>
          <t>Error Guessing</t>
        </is>
      </c>
      <c r="E7" s="8" t="inlineStr">
        <is>
          <t>High</t>
        </is>
      </c>
      <c r="F7" s="8" t="inlineStr">
        <is>
          <t>Logged in as Buyer 1.</t>
        </is>
      </c>
      <c r="G7" s="8" t="inlineStr">
        <is>
          <t>1. Change the order ID in the URL to Buyer 2's order.</t>
        </is>
      </c>
      <c r="H7" s="8" t="inlineStr"/>
      <c r="I7" s="8" t="inlineStr">
        <is>
          <t>Denied. No details of Buyer 2's order are shown.</t>
        </is>
      </c>
      <c r="J7" s="8" t="inlineStr">
        <is>
          <t>A22</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BUY-CAN-001</t>
        </is>
      </c>
      <c r="B2" s="8" t="inlineStr">
        <is>
          <t>Cancellation</t>
        </is>
      </c>
      <c r="C2" s="8" t="inlineStr">
        <is>
          <t>Cancel a COD order before shipping</t>
        </is>
      </c>
      <c r="D2" s="8" t="inlineStr">
        <is>
          <t>State Transition</t>
        </is>
      </c>
      <c r="E2" s="8" t="inlineStr">
        <is>
          <t>High</t>
        </is>
      </c>
      <c r="F2" s="8" t="inlineStr">
        <is>
          <t>Logged in as Buyer 1. A COD order for 2 × P-02 is Accepted; stock is 18.</t>
        </is>
      </c>
      <c r="G2" s="8" t="inlineStr">
        <is>
          <t>1. Click Cancel, choose 'Changed my mind', confirm.
2. Check stock and Seller 1's notifications.</t>
        </is>
      </c>
      <c r="H2" s="8" t="inlineStr"/>
      <c r="I2" s="8" t="inlineStr">
        <is>
          <t>The order is Cancelled on both sides. Stock is 20. Seller 1 is notified with the reason.</t>
        </is>
      </c>
      <c r="J2" s="8" t="inlineStr">
        <is>
          <t>A3, A6, A23</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BUY-CAN-002</t>
        </is>
      </c>
      <c r="B3" s="8" t="inlineStr">
        <is>
          <t>Cancellation</t>
        </is>
      </c>
      <c r="C3" s="8" t="inlineStr">
        <is>
          <t>Reason is required</t>
        </is>
      </c>
      <c r="D3" s="8" t="inlineStr">
        <is>
          <t>Equivalence Partitioning</t>
        </is>
      </c>
      <c r="E3" s="8" t="inlineStr">
        <is>
          <t>Medium</t>
        </is>
      </c>
      <c r="F3" s="8" t="inlineStr">
        <is>
          <t>Logged in as Buyer 1.</t>
        </is>
      </c>
      <c r="G3" s="8" t="inlineStr">
        <is>
          <t>1. Click Cancel and confirm without a reason.</t>
        </is>
      </c>
      <c r="H3" s="8" t="inlineStr"/>
      <c r="I3" s="8" t="inlineStr">
        <is>
          <t>Blocked until a reason is chosen. The order is unchanged.</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BUY-CAN-003</t>
        </is>
      </c>
      <c r="B4" s="8" t="inlineStr">
        <is>
          <t>Cancellation</t>
        </is>
      </c>
      <c r="C4" s="8" t="inlineStr">
        <is>
          <t>Cancel a prepaid order</t>
        </is>
      </c>
      <c r="D4" s="8" t="inlineStr">
        <is>
          <t>State Transition</t>
        </is>
      </c>
      <c r="E4" s="8" t="inlineStr">
        <is>
          <t>High</t>
        </is>
      </c>
      <c r="F4" s="8" t="inlineStr">
        <is>
          <t>Logged in as Buyer 1. A paid e-wallet order with MCH50 is To Ship.</t>
        </is>
      </c>
      <c r="G4" s="8" t="inlineStr">
        <is>
          <t>1. Cancel with a reason.</t>
        </is>
      </c>
      <c r="H4" s="8" t="inlineStr"/>
      <c r="I4" s="8" t="inlineStr">
        <is>
          <t>The order is Cancelled and a refund for the exact amount paid is started. MCH50 returns to the wallet.</t>
        </is>
      </c>
      <c r="J4" s="8" t="inlineStr">
        <is>
          <t>A6, A21</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BUY-CAN-004</t>
        </is>
      </c>
      <c r="B5" s="8" t="inlineStr">
        <is>
          <t>Cancellation</t>
        </is>
      </c>
      <c r="C5" s="8" t="inlineStr">
        <is>
          <t>No cancel after Ready for Pickup</t>
        </is>
      </c>
      <c r="D5" s="8" t="inlineStr">
        <is>
          <t>State Transition</t>
        </is>
      </c>
      <c r="E5" s="8" t="inlineStr">
        <is>
          <t>High</t>
        </is>
      </c>
      <c r="F5" s="8" t="inlineStr">
        <is>
          <t>Logged in as Buyer 1. Seller marked Ready for Pickup.</t>
        </is>
      </c>
      <c r="G5" s="8" t="inlineStr">
        <is>
          <t>1. Look for Cancel.
2. Try the cancel request directly if possible.</t>
        </is>
      </c>
      <c r="H5" s="8" t="inlineStr"/>
      <c r="I5" s="8" t="inlineStr">
        <is>
          <t>No Cancel option; a direct request is rejected and the status is unchanged.</t>
        </is>
      </c>
      <c r="J5" s="8" t="inlineStr">
        <is>
          <t>A6</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BUY-CAN-005</t>
        </is>
      </c>
      <c r="B6" s="8" t="inlineStr">
        <is>
          <t>Cancellation</t>
        </is>
      </c>
      <c r="C6" s="8" t="inlineStr">
        <is>
          <t>No cancel after shipping</t>
        </is>
      </c>
      <c r="D6" s="8" t="inlineStr">
        <is>
          <t>State Transition</t>
        </is>
      </c>
      <c r="E6" s="8" t="inlineStr">
        <is>
          <t>High</t>
        </is>
      </c>
      <c r="F6" s="8" t="inlineStr">
        <is>
          <t>Logged in as Buyer 1. Rider picked up the parcel.</t>
        </is>
      </c>
      <c r="G6" s="8" t="inlineStr">
        <is>
          <t>1. Look for Cancel.</t>
        </is>
      </c>
      <c r="H6" s="8" t="inlineStr"/>
      <c r="I6" s="8" t="inlineStr">
        <is>
          <t>No Cancel option.</t>
        </is>
      </c>
      <c r="J6" s="8" t="inlineStr">
        <is>
          <t>A6</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BUY-CAN-006</t>
        </is>
      </c>
      <c r="B7" s="8" t="inlineStr">
        <is>
          <t>Cancellation</t>
        </is>
      </c>
      <c r="C7" s="8" t="inlineStr">
        <is>
          <t>Double-click Cancel</t>
        </is>
      </c>
      <c r="D7" s="8" t="inlineStr">
        <is>
          <t>Error Guessing</t>
        </is>
      </c>
      <c r="E7" s="8" t="inlineStr">
        <is>
          <t>Low</t>
        </is>
      </c>
      <c r="F7" s="8" t="inlineStr">
        <is>
          <t>Logged in as Buyer 1.</t>
        </is>
      </c>
      <c r="G7" s="8" t="inlineStr">
        <is>
          <t>1. Double-click Confirm Cancel.</t>
        </is>
      </c>
      <c r="H7" s="8" t="inlineStr"/>
      <c r="I7" s="8" t="inlineStr">
        <is>
          <t>One cancellation; stock restored once (not twice).</t>
        </is>
      </c>
      <c r="J7" s="8" t="inlineStr">
        <is>
          <t>A37</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BUY-RET-001</t>
        </is>
      </c>
      <c r="B2" s="8" t="inlineStr">
        <is>
          <t>Return &amp; Refund Request</t>
        </is>
      </c>
      <c r="C2" s="8" t="inlineStr">
        <is>
          <t>Request a return within the window</t>
        </is>
      </c>
      <c r="D2" s="8" t="inlineStr">
        <is>
          <t>Use Case Testing</t>
        </is>
      </c>
      <c r="E2" s="8" t="inlineStr">
        <is>
          <t>High</t>
        </is>
      </c>
      <c r="F2" s="8" t="inlineStr">
        <is>
          <t>Logged in as Buyer 1. A P-02 order was Delivered 2 days ago.</t>
        </is>
      </c>
      <c r="G2" s="8" t="inlineStr">
        <is>
          <t>1. Click Return/Refund.
2. Choose the item, reason, description and upload 2 photos.
3. Submit.</t>
        </is>
      </c>
      <c r="H2" s="8" t="inlineStr">
        <is>
          <t>Reason: Damaged item
Description: Basket arrived with a broken rim.
Photos: review_photo.jpg, product_front.jpg</t>
        </is>
      </c>
      <c r="I2" s="8" t="inlineStr">
        <is>
          <t>The request is submitted. The order moves to Return/Refund. Seller 1 is notified. The order can no longer be completed automatically while the request is open.</t>
        </is>
      </c>
      <c r="J2" s="8" t="inlineStr">
        <is>
          <t>A11, A31</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BUY-RET-002</t>
        </is>
      </c>
      <c r="B3" s="8" t="inlineStr">
        <is>
          <t>Return &amp; Refund Request</t>
        </is>
      </c>
      <c r="C3" s="8" t="inlineStr">
        <is>
          <t>Return not allowed before delivery</t>
        </is>
      </c>
      <c r="D3" s="8" t="inlineStr">
        <is>
          <t>State Transition</t>
        </is>
      </c>
      <c r="E3" s="8" t="inlineStr">
        <is>
          <t>High</t>
        </is>
      </c>
      <c r="F3" s="8" t="inlineStr">
        <is>
          <t>Logged in as Buyer 1. An order is To Ship.</t>
        </is>
      </c>
      <c r="G3" s="8" t="inlineStr">
        <is>
          <t>1. Look for Return/Refund.</t>
        </is>
      </c>
      <c r="H3" s="8" t="inlineStr"/>
      <c r="I3" s="8" t="inlineStr">
        <is>
          <t>Not available.</t>
        </is>
      </c>
      <c r="J3" s="8" t="inlineStr">
        <is>
          <t>A11</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BUY-RET-003</t>
        </is>
      </c>
      <c r="B4" s="8" t="inlineStr">
        <is>
          <t>Return &amp; Refund Request</t>
        </is>
      </c>
      <c r="C4" s="8" t="inlineStr">
        <is>
          <t>Return window boundary</t>
        </is>
      </c>
      <c r="D4" s="8" t="inlineStr">
        <is>
          <t>Boundary Value Analysis</t>
        </is>
      </c>
      <c r="E4" s="8" t="inlineStr">
        <is>
          <t>High</t>
        </is>
      </c>
      <c r="F4" s="8" t="inlineStr">
        <is>
          <t>Logged in as Buyer 1.</t>
        </is>
      </c>
      <c r="G4" s="8" t="inlineStr">
        <is>
          <t>1. Request on day 7 after Delivered.
2. Try on another order 7 days + 1 hour after Delivered (now Completed).</t>
        </is>
      </c>
      <c r="H4" s="8" t="inlineStr"/>
      <c r="I4" s="8" t="inlineStr">
        <is>
          <t>Allowed on day 7. Not available after the window or once Completed.</t>
        </is>
      </c>
      <c r="J4" s="8" t="inlineStr">
        <is>
          <t>A11</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55" customHeight="1">
      <c r="A5" s="7" t="inlineStr">
        <is>
          <t>BUY-RET-004</t>
        </is>
      </c>
      <c r="B5" s="8" t="inlineStr">
        <is>
          <t>Return &amp; Refund Request</t>
        </is>
      </c>
      <c r="C5" s="8" t="inlineStr">
        <is>
          <t>Evidence and description rules</t>
        </is>
      </c>
      <c r="D5" s="8" t="inlineStr">
        <is>
          <t>Boundary Value Analysis</t>
        </is>
      </c>
      <c r="E5" s="8" t="inlineStr">
        <is>
          <t>Medium</t>
        </is>
      </c>
      <c r="F5" s="8" t="inlineStr">
        <is>
          <t>Logged in as Buyer 1.</t>
        </is>
      </c>
      <c r="G5" s="8" t="inlineStr">
        <is>
          <t>1. Submit with 0 photos.
2. Submit with 6 photos.
3. Submit a 5.1 MB photo.
4. Submit a 9-character description.</t>
        </is>
      </c>
      <c r="H5" s="8" t="inlineStr"/>
      <c r="I5" s="8" t="inlineStr">
        <is>
          <t>Each is blocked with a message. 1 to 5 valid photos and 10+ characters are required.</t>
        </is>
      </c>
      <c r="J5" s="8" t="inlineStr">
        <is>
          <t>A31</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BUY-RET-005</t>
        </is>
      </c>
      <c r="B6" s="8" t="inlineStr">
        <is>
          <t>Return &amp; Refund Request</t>
        </is>
      </c>
      <c r="C6" s="8" t="inlineStr">
        <is>
          <t>Track request status</t>
        </is>
      </c>
      <c r="D6" s="8" t="inlineStr">
        <is>
          <t>State Transition</t>
        </is>
      </c>
      <c r="E6" s="8" t="inlineStr">
        <is>
          <t>Medium</t>
        </is>
      </c>
      <c r="F6" s="8" t="inlineStr">
        <is>
          <t>A request exists.</t>
        </is>
      </c>
      <c r="G6" s="8" t="inlineStr">
        <is>
          <t>1. Seller 1 rejects with a reason.
2. Open the request.</t>
        </is>
      </c>
      <c r="H6" s="8" t="inlineStr"/>
      <c r="I6" s="8" t="inlineStr">
        <is>
          <t>Status Rejected with the seller's exact reason and an Escalate button.</t>
        </is>
      </c>
      <c r="J6" s="8" t="inlineStr">
        <is>
          <t>A31</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BUY-RATE-001</t>
        </is>
      </c>
      <c r="B2" s="8" t="inlineStr">
        <is>
          <t>Ratings &amp; Reviews</t>
        </is>
      </c>
      <c r="C2" s="8" t="inlineStr">
        <is>
          <t>Rate a completed order</t>
        </is>
      </c>
      <c r="D2" s="8" t="inlineStr">
        <is>
          <t>Use Case Testing</t>
        </is>
      </c>
      <c r="E2" s="8" t="inlineStr">
        <is>
          <t>High</t>
        </is>
      </c>
      <c r="F2" s="8" t="inlineStr">
        <is>
          <t>Logged in as Buyer 1. An order with P-02 is Completed.</t>
        </is>
      </c>
      <c r="G2" s="8" t="inlineStr">
        <is>
          <t>1. Click Rate.
2. Choose 5 stars, add text and a photo.
3. Submit.
4. Open P-02's reviews as Buyer 2.</t>
        </is>
      </c>
      <c r="H2" s="8" t="inlineStr">
        <is>
          <t>Text: Matibay at maganda!
Photo: review_photo.jpg</t>
        </is>
      </c>
      <c r="I2" s="8" t="inlineStr">
        <is>
          <t>The review appears on P-02 with 5 stars, the text, the photo, the variant and Buyer 1's (masked) name.</t>
        </is>
      </c>
      <c r="J2" s="8" t="inlineStr">
        <is>
          <t>A12</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BUY-RATE-002</t>
        </is>
      </c>
      <c r="B3" s="8" t="inlineStr">
        <is>
          <t>Ratings &amp; Reviews</t>
        </is>
      </c>
      <c r="C3" s="8" t="inlineStr">
        <is>
          <t>Rating not allowed before completion</t>
        </is>
      </c>
      <c r="D3" s="8" t="inlineStr">
        <is>
          <t>State Transition</t>
        </is>
      </c>
      <c r="E3" s="8" t="inlineStr">
        <is>
          <t>High</t>
        </is>
      </c>
      <c r="F3" s="8" t="inlineStr">
        <is>
          <t>Logged in as Buyer 1. The order is To Receive.</t>
        </is>
      </c>
      <c r="G3" s="8" t="inlineStr">
        <is>
          <t>1. Look for Rate.
2. Try the request directly.</t>
        </is>
      </c>
      <c r="H3" s="8" t="inlineStr"/>
      <c r="I3" s="8" t="inlineStr">
        <is>
          <t>Not available; a direct request is rejected.</t>
        </is>
      </c>
      <c r="J3" s="8" t="inlineStr">
        <is>
          <t>A12</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BUY-RATE-003</t>
        </is>
      </c>
      <c r="B4" s="8" t="inlineStr">
        <is>
          <t>Ratings &amp; Reviews</t>
        </is>
      </c>
      <c r="C4" s="8" t="inlineStr">
        <is>
          <t>One review per item</t>
        </is>
      </c>
      <c r="D4" s="8" t="inlineStr">
        <is>
          <t>Equivalence Partitioning</t>
        </is>
      </c>
      <c r="E4" s="8" t="inlineStr">
        <is>
          <t>Medium</t>
        </is>
      </c>
      <c r="F4" s="8" t="inlineStr">
        <is>
          <t>Logged in as Buyer 1. P-02 already reviewed in this order.</t>
        </is>
      </c>
      <c r="G4" s="8" t="inlineStr">
        <is>
          <t>1. Try to rate it again.</t>
        </is>
      </c>
      <c r="H4" s="8" t="inlineStr"/>
      <c r="I4" s="8" t="inlineStr">
        <is>
          <t>Blocked; only Edit is offered.</t>
        </is>
      </c>
      <c r="J4" s="8" t="inlineStr">
        <is>
          <t>A12</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55" customHeight="1">
      <c r="A5" s="7" t="inlineStr">
        <is>
          <t>BUY-RATE-004</t>
        </is>
      </c>
      <c r="B5" s="8" t="inlineStr">
        <is>
          <t>Ratings &amp; Reviews</t>
        </is>
      </c>
      <c r="C5" s="8" t="inlineStr">
        <is>
          <t>Stars, text and photo limits</t>
        </is>
      </c>
      <c r="D5" s="8" t="inlineStr">
        <is>
          <t>Boundary Value Analysis</t>
        </is>
      </c>
      <c r="E5" s="8" t="inlineStr">
        <is>
          <t>Medium</t>
        </is>
      </c>
      <c r="F5" s="8" t="inlineStr">
        <is>
          <t>Logged in as Buyer 1.</t>
        </is>
      </c>
      <c r="G5" s="8" t="inlineStr">
        <is>
          <t>1. Submit with 0 stars.
2. Submit 500 characters of text, then 501.
3. Attach 5 photos, then try a 6th.</t>
        </is>
      </c>
      <c r="H5" s="8" t="inlineStr"/>
      <c r="I5" s="8" t="inlineStr">
        <is>
          <t>0 stars is blocked. 500 characters and 5 photos are accepted; 501 characters and a 6th photo are not.</t>
        </is>
      </c>
      <c r="J5" s="8" t="inlineStr">
        <is>
          <t>A12</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55" customHeight="1">
      <c r="A6" s="7" t="inlineStr">
        <is>
          <t>BUY-RATE-005</t>
        </is>
      </c>
      <c r="B6" s="8" t="inlineStr">
        <is>
          <t>Ratings &amp; Reviews</t>
        </is>
      </c>
      <c r="C6" s="8" t="inlineStr">
        <is>
          <t>Edit once within the window</t>
        </is>
      </c>
      <c r="D6" s="8" t="inlineStr">
        <is>
          <t>State Transition</t>
        </is>
      </c>
      <c r="E6" s="8" t="inlineStr">
        <is>
          <t>Low</t>
        </is>
      </c>
      <c r="F6" s="8" t="inlineStr">
        <is>
          <t>Logged in as Buyer 1.</t>
        </is>
      </c>
      <c r="G6" s="8" t="inlineStr">
        <is>
          <t>1. Edit the review once.
2. Try to edit again.
3. On another review older than 30 days, try to edit.</t>
        </is>
      </c>
      <c r="H6" s="8" t="inlineStr"/>
      <c r="I6" s="8" t="inlineStr">
        <is>
          <t>The first edit saves. A second edit and an edit after 30 days are not possible.</t>
        </is>
      </c>
      <c r="J6" s="8" t="inlineStr">
        <is>
          <t>A12</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BUY-RATE-006</t>
        </is>
      </c>
      <c r="B7" s="8" t="inlineStr">
        <is>
          <t>Ratings &amp; Reviews</t>
        </is>
      </c>
      <c r="C7" s="8" t="inlineStr">
        <is>
          <t>Average rating updates</t>
        </is>
      </c>
      <c r="D7" s="8" t="inlineStr">
        <is>
          <t>Use Case Testing</t>
        </is>
      </c>
      <c r="E7" s="8" t="inlineStr">
        <is>
          <t>Medium</t>
        </is>
      </c>
      <c r="F7" s="8" t="inlineStr">
        <is>
          <t>P-02 has one 4-star review.</t>
        </is>
      </c>
      <c r="G7" s="8" t="inlineStr">
        <is>
          <t>1. Buyer 2 adds a 2-star review.</t>
        </is>
      </c>
      <c r="H7" s="8" t="inlineStr"/>
      <c r="I7" s="8" t="inlineStr">
        <is>
          <t>Average becomes 3.0 and the count 2 on the product page and search card.</t>
        </is>
      </c>
      <c r="J7" s="8" t="inlineStr"/>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BUY-CHAT-001</t>
        </is>
      </c>
      <c r="B2" s="8" t="inlineStr">
        <is>
          <t>Chat &amp; Notifications</t>
        </is>
      </c>
      <c r="C2" s="8" t="inlineStr">
        <is>
          <t>Chat with a seller from a product</t>
        </is>
      </c>
      <c r="D2" s="8" t="inlineStr">
        <is>
          <t>Use Case Testing</t>
        </is>
      </c>
      <c r="E2" s="8" t="inlineStr">
        <is>
          <t>Medium</t>
        </is>
      </c>
      <c r="F2" s="8" t="inlineStr">
        <is>
          <t>Logged in as Buyer 1.</t>
        </is>
      </c>
      <c r="G2" s="8" t="inlineStr">
        <is>
          <t>1. On P-02 click Chat.
2. Send a message and an image.</t>
        </is>
      </c>
      <c r="H2" s="8" t="inlineStr">
        <is>
          <t>Hi, available pa po ba?
review_photo.jpg</t>
        </is>
      </c>
      <c r="I2" s="8" t="inlineStr">
        <is>
          <t>Seller 1 receives both in order. The chat shows the P-02 product card.</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BUY-CHAT-002</t>
        </is>
      </c>
      <c r="B3" s="8" t="inlineStr">
        <is>
          <t>Chat &amp; Notifications</t>
        </is>
      </c>
      <c r="C3" s="8" t="inlineStr">
        <is>
          <t>Invalid attachments and message length</t>
        </is>
      </c>
      <c r="D3" s="8" t="inlineStr">
        <is>
          <t>Boundary Value Analysis</t>
        </is>
      </c>
      <c r="E3" s="8" t="inlineStr">
        <is>
          <t>Low</t>
        </is>
      </c>
      <c r="F3" s="8" t="inlineStr">
        <is>
          <t>Logged in as Buyer 1.</t>
        </is>
      </c>
      <c r="G3" s="8" t="inlineStr">
        <is>
          <t>1. Attach installer.exe and size_5.1MB.jpg.
2. Send 1,001 characters.</t>
        </is>
      </c>
      <c r="H3" s="8" t="inlineStr"/>
      <c r="I3" s="8" t="inlineStr">
        <is>
          <t>All are rejected; nothing is sent.</t>
        </is>
      </c>
      <c r="J3" s="8" t="inlineStr">
        <is>
          <t>A16, A25</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BUY-CHAT-003</t>
        </is>
      </c>
      <c r="B4" s="8" t="inlineStr">
        <is>
          <t>Chat &amp; Notifications</t>
        </is>
      </c>
      <c r="C4" s="8" t="inlineStr">
        <is>
          <t>Order status notifications</t>
        </is>
      </c>
      <c r="D4" s="8" t="inlineStr">
        <is>
          <t>State Transition</t>
        </is>
      </c>
      <c r="E4" s="8" t="inlineStr">
        <is>
          <t>High</t>
        </is>
      </c>
      <c r="F4" s="8" t="inlineStr">
        <is>
          <t>Logged in as Buyer 1.</t>
        </is>
      </c>
      <c r="G4" s="8" t="inlineStr">
        <is>
          <t>1. Move an order through Accepted, Picked Up, Out for Delivery and Delivered.</t>
        </is>
      </c>
      <c r="H4" s="8" t="inlineStr"/>
      <c r="I4" s="8" t="inlineStr">
        <is>
          <t>Exactly one notification per change. Each opens the right order.</t>
        </is>
      </c>
      <c r="J4" s="8" t="inlineStr">
        <is>
          <t>A23</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BUY-CHAT-004</t>
        </is>
      </c>
      <c r="B5" s="8" t="inlineStr">
        <is>
          <t>Chat &amp; Notifications</t>
        </is>
      </c>
      <c r="C5" s="8" t="inlineStr">
        <is>
          <t>Flash-sale reminder</t>
        </is>
      </c>
      <c r="D5" s="8" t="inlineStr">
        <is>
          <t>Equivalence Partitioning</t>
        </is>
      </c>
      <c r="E5" s="8" t="inlineStr">
        <is>
          <t>Low</t>
        </is>
      </c>
      <c r="F5" s="8" t="inlineStr">
        <is>
          <t>Logged in as Buyer 1. Set a reminder for P-02's flash sale.</t>
        </is>
      </c>
      <c r="G5" s="8" t="inlineStr">
        <is>
          <t>1. Wait for the slot to start.</t>
        </is>
      </c>
      <c r="H5" s="8" t="inlineStr"/>
      <c r="I5" s="8" t="inlineStr">
        <is>
          <t>A reminder arrives before the slot starts and links to P-02.</t>
        </is>
      </c>
      <c r="J5" s="8" t="inlineStr"/>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BUY-CHAT-005</t>
        </is>
      </c>
      <c r="B6" s="8" t="inlineStr">
        <is>
          <t>Chat &amp; Notifications</t>
        </is>
      </c>
      <c r="C6" s="8" t="inlineStr">
        <is>
          <t>Mark notifications as read</t>
        </is>
      </c>
      <c r="D6" s="8" t="inlineStr">
        <is>
          <t>Use Case Testing</t>
        </is>
      </c>
      <c r="E6" s="8" t="inlineStr">
        <is>
          <t>Low</t>
        </is>
      </c>
      <c r="F6" s="8" t="inlineStr">
        <is>
          <t>Logged in as Buyer 1. 3 unread notifications.</t>
        </is>
      </c>
      <c r="G6" s="8" t="inlineStr">
        <is>
          <t>1. Open one notification.
2. Click Mark all as read.</t>
        </is>
      </c>
      <c r="H6" s="8" t="inlineStr"/>
      <c r="I6" s="8" t="inlineStr">
        <is>
          <t>Unread count goes 3 → 2 → 0.</t>
        </is>
      </c>
      <c r="J6" s="8" t="inlineStr"/>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