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Test Data" sheetId="3" state="visible" r:id="rId5"/>
    <sheet name="Test Files" sheetId="4" state="visible" r:id="rId6"/>
    <sheet name="R1 Profile &amp; Vehicle" sheetId="5" state="visible" r:id="rId7"/>
    <sheet name="R2 Availability" sheetId="6" state="visible" r:id="rId8"/>
    <sheet name="R3 Job Assignment" sheetId="7" state="visible" r:id="rId9"/>
    <sheet name="R4 Pickup" sheetId="8" state="visible" r:id="rId10"/>
    <sheet name="R5 Delivery" sheetId="9" state="visible" r:id="rId11"/>
    <sheet name="R6 Failed Delivery" sheetId="10" state="visible" r:id="rId12"/>
    <sheet name="R7 Earnings &amp; COD" sheetId="11" state="visible" r:id="rId13"/>
  </sheets>
  <definedNames>
    <definedName function="false" hidden="true" localSheetId="4" name="_xlnm._FilterDatabase" vbProcedure="false">'R1 Profile &amp; Vehicle'!$A$1:$M$9</definedName>
    <definedName function="false" hidden="true" localSheetId="5" name="_xlnm._FilterDatabase" vbProcedure="false">'R2 Availability'!$A$1:$M$8</definedName>
    <definedName function="false" hidden="true" localSheetId="6" name="_xlnm._FilterDatabase" vbProcedure="false">'R3 Job Assignment'!$A$1:$M$10</definedName>
    <definedName function="false" hidden="true" localSheetId="7" name="_xlnm._FilterDatabase" vbProcedure="false">'R4 Pickup'!$A$1:$M$8</definedName>
    <definedName function="false" hidden="true" localSheetId="8" name="_xlnm._FilterDatabase" vbProcedure="false">'R5 Delivery'!$A$1:$M$12</definedName>
    <definedName function="false" hidden="true" localSheetId="9" name="_xlnm._FilterDatabase" vbProcedure="false">'R6 Failed Delivery'!$A$1:$M$6</definedName>
    <definedName function="false" hidden="true" localSheetId="10" name="_xlnm._FilterDatabase" vbProcedure="false">'R7 Earnings &amp; COD'!$A$1:$M$7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<sst xmlns="http://schemas.openxmlformats.org/spreadsheetml/2006/main" count="1394" uniqueCount="938">
  <si>
    <t xml:space="preserve">Black-Box Test Cases: Rider Modules (R1–R7) (Mobile App)</t>
  </si>
  <si>
    <t xml:space="preserve">Multi-role e-commerce and logistics mobile app (Buyer, Seller, Logistics, Rider, Courier)</t>
  </si>
  <si>
    <t xml:space="preserve">Test run details</t>
  </si>
  <si>
    <t xml:space="preserve">System under test</t>
  </si>
  <si>
    <t xml:space="preserve">App version / build number</t>
  </si>
  <si>
    <t xml:space="preserve">Test device (model, OS version) and network (Wi-Fi / mobile data)</t>
  </si>
  <si>
    <t xml:space="preserve">Tester</t>
  </si>
  <si>
    <t xml:space="preserve">Date tested</t>
  </si>
  <si>
    <t xml:space="preserve">Results by module</t>
  </si>
  <si>
    <t xml:space="preserve">Module (sheet)</t>
  </si>
  <si>
    <t xml:space="preserve">Total test cases</t>
  </si>
  <si>
    <t xml:space="preserve">Pass</t>
  </si>
  <si>
    <t xml:space="preserve">Fail</t>
  </si>
  <si>
    <t xml:space="preserve">Blocked</t>
  </si>
  <si>
    <t xml:space="preserve">Not Run</t>
  </si>
  <si>
    <t xml:space="preserve">Pass rate (Pass / Total)</t>
  </si>
  <si>
    <t xml:space="preserve">R1 Profile &amp; Vehicle</t>
  </si>
  <si>
    <t xml:space="preserve">R2 Availability</t>
  </si>
  <si>
    <t xml:space="preserve">R3 Job Assignment</t>
  </si>
  <si>
    <t xml:space="preserve">R4 Pickup</t>
  </si>
  <si>
    <t xml:space="preserve">R5 Delivery</t>
  </si>
  <si>
    <t xml:space="preserve">R6 Failed Delivery</t>
  </si>
  <si>
    <t xml:space="preserve">R7 Earnings &amp; COD</t>
  </si>
  <si>
    <t xml:space="preserve">Total</t>
  </si>
  <si>
    <t xml:space="preserve">How to use this workbook</t>
  </si>
  <si>
    <t xml:space="preserve">1. Riders need orders that sellers have marked Ready for Pickup. Run with the Logistics test set.</t>
  </si>
  <si>
    <t xml:space="preserve">2. Strict pass rule: a case passes only if EVERY point in its Expected Result is true. If any point is false, or something happens that the Expected Result does not mention (an extra record, a stock change, a wrong notification, an app crash or freeze, a server error), mark it Fail.</t>
  </si>
  <si>
    <t xml:space="preserve">3. Check side effects, not just the screen: after each case, confirm the stock, order status, voucher usage, balances and the other roles' views named in the Expected Result. 'Nothing is saved' means the record is missing after a pull-to-pull-to-refresh, or after closing and reopening the screen.</t>
  </si>
  <si>
    <t xml:space="preserve">4. Error messages must appear next to the field (or at the top of the form) and say what is wrong and how to fix it. A generic 'Something went wrong', a blank screen, an app crash, or a 500 error is a Fail even when the action was correctly blocked.</t>
  </si>
  <si>
    <t xml:space="preserve">5. For 'Error Guessing' security cases, a correct block shows a 403 screen, a 'not found' screen or a redirect, and shows NO data from the other user's record anywhere on the screen.</t>
  </si>
  <si>
    <t xml:space="preserve">6. Read the Assumptions sheet first. Rules A2 to A8 are the seven rules the module plan says must be agreed before testing; adjust any case whose rule differs from your system.</t>
  </si>
  <si>
    <t xml:space="preserve">7. Seed the accounts, products, vouchers and shipping rates on the Test Data sheet before running the cases. Emails use example.com; read them from a mail catcher such as Mailtrap.</t>
  </si>
  <si>
    <t xml:space="preserve">8. Test Case IDs follow &lt;ROLE&gt;-&lt;MODULE&gt;-&lt;NNN&gt;. Each module has positive, negative and boundary cases.</t>
  </si>
  <si>
    <t xml:space="preserve">9. Fill in only the yellow cells: Actual Result, Status and Remarks. Pick the Status from the dropdown (Pass, Fail, Blocked, Not Run).</t>
  </si>
  <si>
    <t xml:space="preserve">10. Pass = actual matches expected. Fail = it does not (describe what happened and add a screenshot or bug number in Remarks). Blocked = the case could not be run, for example because an earlier case failed.</t>
  </si>
  <si>
    <t xml:space="preserve">11. The Results by module table above updates automatically from the Status column.</t>
  </si>
  <si>
    <t xml:space="preserve">Black-box techniques used</t>
  </si>
  <si>
    <t xml:space="preserve">Equivalence Partitioning</t>
  </si>
  <si>
    <t xml:space="preserve">Inputs are grouped into valid and invalid classes, and one value from each class is tested.</t>
  </si>
  <si>
    <t xml:space="preserve">Boundary Value Analysis</t>
  </si>
  <si>
    <t xml:space="preserve">Values at and just beyond a limit are tested, for example ₱0.99, ₱1.00 and ₱1.01 for a ₱1.00 minimum price.</t>
  </si>
  <si>
    <t xml:space="preserve">Decision Table</t>
  </si>
  <si>
    <t xml:space="preserve">Combinations of conditions are tested, for example which vouchers can stack.</t>
  </si>
  <si>
    <t xml:space="preserve">State Transition</t>
  </si>
  <si>
    <t xml:space="preserve">Changes in order or shipment status are tested, including transitions that must be blocked.</t>
  </si>
  <si>
    <t xml:space="preserve">Use Case Testing</t>
  </si>
  <si>
    <t xml:space="preserve">A complete user flow is tested from start to finish with valid data.</t>
  </si>
  <si>
    <t xml:space="preserve">Error Guessing</t>
  </si>
  <si>
    <t xml:space="preserve">Likely mistakes are tested based on experience, for example double-tapping Place Order or changing an ID in a deep link or API request.</t>
  </si>
  <si>
    <t xml:space="preserve">Mobile app testing notes</t>
  </si>
  <si>
    <t xml:space="preserve">1. Install the build under test on at least one Android phone, and on an iPhone if your system supports iOS. Write the phone model, OS version and app build number in the Test run details above, and test on the same build throughout.</t>
  </si>
  <si>
    <t xml:space="preserve">2. Copy every file on the Test Files sheet to the phone before testing: documents to the Files / Downloads folder and images to Photos (gallery).</t>
  </si>
  <si>
    <t xml:space="preserve">3. Rows whose Test Scenario starts with [Mobile] are new mobile-only cases (keyboard, interruptions, no internet, permissions, camera, Back button, push notifications, deep links). Filter the Test Scenario column on '[Mobile]' to run them as a group. Assumptions M1 to M14 describe the rules they check.</t>
  </si>
  <si>
    <t xml:space="preserve">4. 'Tap' is a single tap and 'double-tap' is two quick taps on the same button. 'Pull to refresh' means dragging the screen down from the top; if a screen has none, go back and reopen it. Use Airplane mode for the no-internet cases and turn it off before the next case.</t>
  </si>
  <si>
    <t xml:space="preserve">5. Cases that send or capture an API request need a proxy tool on the phone (Assumption M11). If your group cannot capture app traffic, mark those cases Blocked and write 'no proxy' in Remarks.</t>
  </si>
  <si>
    <t xml:space="preserve">6. Evidence: use the phone's screenshot or built-in screen recorder and name each file by case ID (for example buy-010.png or buy-031.mp4). Screen recordings are best for timing, interruption and no-internet cases.</t>
  </si>
  <si>
    <t xml:space="preserve">Assumptions used in the test cases</t>
  </si>
  <si>
    <t xml:space="preserve">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 A38 to A41 cover couriers and hub-to-hub (linehaul) trips. M1 to M14 are the mobile-app rules used by the [Mobile] cases.</t>
  </si>
  <si>
    <t xml:space="preserve">Ref</t>
  </si>
  <si>
    <t xml:space="preserve">Topic</t>
  </si>
  <si>
    <t xml:space="preserve">Assumed rule</t>
  </si>
  <si>
    <t xml:space="preserve">Your system's actual rule (fill in if different)</t>
  </si>
  <si>
    <t xml:space="preserve">A1</t>
  </si>
  <si>
    <t xml:space="preserve">Test accounts</t>
  </si>
  <si>
    <t xml:space="preserve">The accounts on the Test Data sheet already exist and are Active or Approved (they are the accounts created in the Account Creation test set). Seller 3 is Pending Approval and Rider 3 and Courier 3 are Suspended, for the negative cases. Reset the seeded products, stock and vouchers to their Test Data values before each module.</t>
  </si>
  <si>
    <t xml:space="preserve">A2</t>
  </si>
  <si>
    <t xml:space="preserve">Voucher stacking (rule 1)</t>
  </si>
  <si>
    <t xml:space="preserve">Per order: at most 1 store voucher per store, plus 1 platform voucher, plus 1 shipping voucher. Selecting a second voucher of the same type replaces the first; it never stacks.</t>
  </si>
  <si>
    <t xml:space="preserve">A3</t>
  </si>
  <si>
    <t xml:space="preserve">Stock deduction (rule 2)</t>
  </si>
  <si>
    <t xml:space="preserve">Stock is deducted when the order is placed, for every payment method. It is restored when the order is cancelled (by buyer, seller or auto-cancel). For a Return-to-Sender or returned parcel, stock is restored when the seller confirms receipt. Stock can never go below 0.</t>
  </si>
  <si>
    <t xml:space="preserve">A4</t>
  </si>
  <si>
    <t xml:space="preserve">Sale + voucher (rule 3)</t>
  </si>
  <si>
    <t xml:space="preserve">Vouchers apply to items already on sale. Minimum spend is checked against the price actually paid (the sale or flash price), not the original price.</t>
  </si>
  <si>
    <t xml:space="preserve">A5</t>
  </si>
  <si>
    <t xml:space="preserve">Flash sales (rule 4)</t>
  </si>
  <si>
    <t xml:space="preserve">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</si>
  <si>
    <t xml:space="preserve">A6</t>
  </si>
  <si>
    <t xml:space="preserve">Cancellation window and auto-cancel (rule 5)</t>
  </si>
  <si>
    <t xml:space="preserve">A buyer can cancel until the seller marks the order Ready for Pickup; after that there is no cancel option at all. A seller can cancel until the parcel is Picked Up. Unpaid e-wallet or card orders auto-cancel exactly 1 hour after the order is placed.</t>
  </si>
  <si>
    <t xml:space="preserve">A7</t>
  </si>
  <si>
    <t xml:space="preserve">Variation limits and category depth (rule 6)</t>
  </si>
  <si>
    <t xml:space="preserve">A product has at most 2 variation types, with 1 to 20 options per type. Store categories have at most 2 levels (category and subcategory). A product can belong to up to 3 store categories.</t>
  </si>
  <si>
    <t xml:space="preserve">A8</t>
  </si>
  <si>
    <t xml:space="preserve">Voucher funding (rule 7)</t>
  </si>
  <si>
    <t xml:space="preserve">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</si>
  <si>
    <t xml:space="preserve">A9</t>
  </si>
  <si>
    <t xml:space="preserve">Platform commission and rounding</t>
  </si>
  <si>
    <t xml:space="preserve">Commission is 5% of the item subtotal after seller-funded discounts. Shipping fees are not part of the seller's gross sales. All money is rounded to 2 decimals (half up) per order.</t>
  </si>
  <si>
    <t xml:space="preserve">A10</t>
  </si>
  <si>
    <t xml:space="preserve">Order status flow</t>
  </si>
  <si>
    <t xml:space="preserve">Buyer tabs: To Pay → To Ship → To Receive → Completed (or Cancelled, Return/Refund). Seller: New → Accepted → Packed → Ready for Pickup. Shipment: Ready for Pickup → Assigned → Picked Up → At Hub → (In Transit → At Hub at the destination hub, when the address belongs to another hub; see A38) → Out for Delivery → Delivered (or Failed Delivery → Return to Sender → Returned to Sender). No status can be skipped or moved backwards except by a logged Logistics override.</t>
  </si>
  <si>
    <t xml:space="preserve">A11</t>
  </si>
  <si>
    <t xml:space="preserve">Order completion and return window</t>
  </si>
  <si>
    <t xml:space="preserve">The buyer taps Order Received, or the order completes automatically 7 days (168 hours) after Delivered. A return or refund can be requested only after Delivered, within those 7 days and before the order is Completed.</t>
  </si>
  <si>
    <t xml:space="preserve">A12</t>
  </si>
  <si>
    <t xml:space="preserve">Reviews</t>
  </si>
  <si>
    <t xml:space="preserve">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</si>
  <si>
    <t xml:space="preserve">A13</t>
  </si>
  <si>
    <t xml:space="preserve">Failed delivery</t>
  </si>
  <si>
    <t xml:space="preserve">Up to 3 delivery attempts. A reason from the list (Buyer not home, Wrong address, Refused) is required for every failed attempt. After the 3rd failed attempt, or immediately when the reason is Refused, the parcel is marked Return to Sender.</t>
  </si>
  <si>
    <t xml:space="preserve">A14</t>
  </si>
  <si>
    <t xml:space="preserve">Rider job rules</t>
  </si>
  <si>
    <t xml:space="preserve">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</si>
  <si>
    <t xml:space="preserve">A15</t>
  </si>
  <si>
    <t xml:space="preserve">Seller earnings and payout</t>
  </si>
  <si>
    <t xml:space="preserve">Earnings move from Pending to Available only when an order is Completed. Cancelled, returned and refunded amounts are excluded. A payout request must be at least ₱100.00 and no more than the Available balance, and only one payout request can be pending at a time.</t>
  </si>
  <si>
    <t xml:space="preserve">A16</t>
  </si>
  <si>
    <t xml:space="preserve">Image upload rule</t>
  </si>
  <si>
    <t xml:space="preserve">Product, logo, banner, review, return, chat and proof-of-delivery images: JPG or PNG only (checked by file content, not just the extension), maximum 5 MB each. A product has 1 to 9 images.</t>
  </si>
  <si>
    <t xml:space="preserve">A17</t>
  </si>
  <si>
    <t xml:space="preserve">Price and quantity rule</t>
  </si>
  <si>
    <t xml:space="preserve">Prices range from ₱1.00 to ₱1,000,000.00 with up to 2 decimal places. Stock and quantities are whole numbers from 0 to 99,999.</t>
  </si>
  <si>
    <t xml:space="preserve">A18</t>
  </si>
  <si>
    <t xml:space="preserve">Store vacation and verification</t>
  </si>
  <si>
    <t xml:space="preserve">In vacation mode, products stay visible but Add to Cart and Buy Now are disabled with an 'On vacation' label, and checkout of items already in carts is blocked. A seller that is not Approved can save products only as drafts and cannot publish.</t>
  </si>
  <si>
    <t xml:space="preserve">A19</t>
  </si>
  <si>
    <t xml:space="preserve">Deleting categories and products</t>
  </si>
  <si>
    <t xml:space="preserve">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</si>
  <si>
    <t xml:space="preserve">A20</t>
  </si>
  <si>
    <t xml:space="preserve">Shipping fee</t>
  </si>
  <si>
    <t xml:space="preserve">Shipping is charged per store, using the rate table on the Test Data sheet. Chargeable weight is the total actual weight of that store's items in the order, rounded up to the next whole kg. Rate changes apply only to checkouts started after the change.</t>
  </si>
  <si>
    <t xml:space="preserve">A21</t>
  </si>
  <si>
    <t xml:space="preserve">Voucher return on cancellation</t>
  </si>
  <si>
    <t xml:space="preserve">A voucher used on a cancelled order is returned to the buyer's wallet if it has not yet expired, and its usage count is reduced by 1. A voucher is not returned for a refunded (returned) order.</t>
  </si>
  <si>
    <t xml:space="preserve">A22</t>
  </si>
  <si>
    <t xml:space="preserve">Session and access</t>
  </si>
  <si>
    <t xml:space="preserve">Each role can open only its own screens; other roles get 403, an access-denied screen or a redirect, for both deep links and direct API requests. Users can open only their own records (orders, products, shipments, riders, couriers, trips). A session expires after 30 minutes of inactivity.</t>
  </si>
  <si>
    <t xml:space="preserve">A23</t>
  </si>
  <si>
    <t xml:space="preserve">Notifications</t>
  </si>
  <si>
    <t xml:space="preserve">Every order or shipment status change sends an in-app notification and a push notification to each role involved, and to no one else. Emails use example.com and are read from the mail catcher.</t>
  </si>
  <si>
    <t xml:space="preserve">A24</t>
  </si>
  <si>
    <t xml:space="preserve">COD remittance</t>
  </si>
  <si>
    <t xml:space="preserve">Riders remit the full COD collected to their logistics company by the end of the day. Only the logistics company can confirm a remittance. Any difference between collected and remitted COD is flagged on the reconciliation screen.</t>
  </si>
  <si>
    <t xml:space="preserve">A25</t>
  </si>
  <si>
    <t xml:space="preserve">Text field limits</t>
  </si>
  <si>
    <t xml:space="preserve">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</si>
  <si>
    <t xml:space="preserve">A26</t>
  </si>
  <si>
    <t xml:space="preserve">Voucher code rule</t>
  </si>
  <si>
    <t xml:space="preserve">4 to 12 letters and digits, no spaces or symbols, saved in uppercase. Codes are unique across the whole platform. Buyers can type the code in any case.</t>
  </si>
  <si>
    <t xml:space="preserve">A27</t>
  </si>
  <si>
    <t xml:space="preserve">Editing vouchers after claim</t>
  </si>
  <si>
    <t xml:space="preserve">Once any buyer has claimed a voucher, the seller can only extend its end date or raise its usage limit; all other fields are locked. Ending a voucher removes it from the wallets of buyers who have not used it; orders already placed keep their discount.</t>
  </si>
  <si>
    <t xml:space="preserve">A28</t>
  </si>
  <si>
    <t xml:space="preserve">Store sales</t>
  </si>
  <si>
    <t xml:space="preserve">A product can be in only one store sale at a time; overlapping schedules are rejected. A running sale's discount can be edited and applies immediately to new orders; End Now ends it at once. Orders already placed keep the price paid.</t>
  </si>
  <si>
    <t xml:space="preserve">A29</t>
  </si>
  <si>
    <t xml:space="preserve">Low-stock alert</t>
  </si>
  <si>
    <t xml:space="preserve">An alert is shown when a product's or variant's stock reaches 5 or fewer, once per crossing (it does not repeat until stock goes above 5 and drops again).</t>
  </si>
  <si>
    <t xml:space="preserve">A30</t>
  </si>
  <si>
    <t xml:space="preserve">Address book</t>
  </si>
  <si>
    <t xml:space="preserve">Up to 10 addresses per buyer. The default address cannot be deleted until another address is made default. Orders keep a copy of the address at order time, so editing or deleting an address does not change existing orders.</t>
  </si>
  <si>
    <t xml:space="preserve">A31</t>
  </si>
  <si>
    <t xml:space="preserve">Return and refund requests</t>
  </si>
  <si>
    <t xml:space="preserve">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</si>
  <si>
    <t xml:space="preserve">A32</t>
  </si>
  <si>
    <t xml:space="preserve">Proof of delivery</t>
  </si>
  <si>
    <t xml:space="preserve">Delivered needs a photo (JPG or PNG) and the 6-digit delivery OTP shown in the buyer's app once the parcel is Out for Delivery. After 5 wrong OTP entries, OTP entry on that job is locked for 15 minutes.</t>
  </si>
  <si>
    <t xml:space="preserve">A33</t>
  </si>
  <si>
    <t xml:space="preserve">Rider pay</t>
  </si>
  <si>
    <t xml:space="preserve">₱50.00 per successful delivery, ₱30.00 per completed pickup, ₱0.00 for a failed attempt. Pay is not reduced by COD.</t>
  </si>
  <si>
    <t xml:space="preserve">A34</t>
  </si>
  <si>
    <t xml:space="preserve">Dispatch and reassignment</t>
  </si>
  <si>
    <t xml:space="preserve">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</si>
  <si>
    <t xml:space="preserve">A35</t>
  </si>
  <si>
    <t xml:space="preserve">Audit log</t>
  </si>
  <si>
    <t xml:space="preserve">Every manual status override, rider or courier approval or suspension, trip reassignment or cancellation, seal or missing-parcel discrepancy, rate change and remittance confirmation is logged with user, date and time, old value, new value and reason. Log entries cannot be edited or deleted from the UI.</t>
  </si>
  <si>
    <t xml:space="preserve">A36</t>
  </si>
  <si>
    <t xml:space="preserve">Report export</t>
  </si>
  <si>
    <t xml:space="preserve">Reports export as CSV and XLSX. Exported rows and totals equal the on-screen rows and totals for the same filter.</t>
  </si>
  <si>
    <t xml:space="preserve">A37</t>
  </si>
  <si>
    <t xml:space="preserve">Duplicate submissions</t>
  </si>
  <si>
    <t xml:space="preserve">Every create or submit action (Publish, Place Order, Pay, Request Payout, Accept job, Remit, Confirm) is idempotent: double-tapping, tapping the keyboard's Done key twice, pulling to pull-to-refresh, or going Back and resubmitting never creates a second record or a second charge.</t>
  </si>
  <si>
    <t xml:space="preserve">A38</t>
  </si>
  <si>
    <t xml:space="preserve">Linehaul trips (hub to hub)</t>
  </si>
  <si>
    <t xml:space="preserve">A parcel whose delivery address belongs to another hub travels between hubs on a linehaul trip driven by a courier. Logistics creates the trip (origin hub, destination hub, and parcels that are At Hub at the origin and belong to the destination hub's delivery zone), then assigns a courier. The courier accepts, scans every parcel while loading, enters the seal number and departs; each parcel becomes In Transit. At the destination, hub staff confirm the seal and scan each parcel in (At Hub). Trip statuses: Scheduled → Assigned → Accepted → Loading → In Transit → Arrived → Completed (or Completed with Discrepancy, or Cancelled). A trip can be edited or cancelled only before departure.</t>
  </si>
  <si>
    <t xml:space="preserve">A39</t>
  </si>
  <si>
    <t xml:space="preserve">Courier rules</t>
  </si>
  <si>
    <t xml:space="preserve">Only Active couriers who are On Duty can be assigned a trip; a courier holds at most 1 active trip, and the trip weight cannot exceed the vehicle's load capacity. Going On Duty needs location permission and a passed pre-trip checklist (Tires, Lights, Brakes, Fuel, Cargo door lock); an item marked Not OK needs a note (10–300 characters), keeps the courier Off Duty and notifies Logistics. Off Duty is not allowed while a trip is Loading or In Transit. Depart is allowed only within 500 m of the origin hub and after every parcel is scanned; Arrived only within 500 m of the destination hub. Suspending a courier returns their Assigned or Accepted trips to Unassigned; a trip already In Transit stays with them until handover. Only hub staff can confirm receipt at the destination. Plate and license numbers are unique across riders and couriers.</t>
  </si>
  <si>
    <t xml:space="preserve">A40</t>
  </si>
  <si>
    <t xml:space="preserve">Seal and handover discrepancies</t>
  </si>
  <si>
    <t xml:space="preserve">The seal number is BH- followed by 7 digits (for example BH-0004521) and is required before departure. If the seal entered at the destination does not match, the trip is flagged Seal Discrepancy. Parcels not scanned in when the destination hub closes receiving become Missing in Transit; a parcel marked Damaged needs a photo. Any discrepancy makes the trip Completed with Discrepancy, notifies Logistics and the seller, and asks the courier for a note (10–300 characters). All are logged (A35).</t>
  </si>
  <si>
    <t xml:space="preserve">A41</t>
  </si>
  <si>
    <t xml:space="preserve">Courier pay and delays</t>
  </si>
  <si>
    <t xml:space="preserve">Pay per completed trip: Van ₱600.00, 4-Wheeler Closed Van Truck ₱1,000.00, 6-Wheeler Truck ₱1,500.00. Declined, cancelled and reassigned-away trips pay ₱0.00; the pay goes to the courier who completes the handover. A delay report needs a reason from the list (Heavy traffic, Vehicle breakdown, Weather, Road closure, Other) and a new ETA later than the current time; Logistics is notified. After a Vehicle breakdown report, Logistics can reassign the In Transit trip to another courier, who must scan every parcel again before continuing.</t>
  </si>
  <si>
    <t xml:space="preserve">M1</t>
  </si>
  <si>
    <t xml:space="preserve">Mobile app under test</t>
  </si>
  <si>
    <t xml:space="preserve">The system is tested as a mobile app (Android and/or iOS) installed from an APK, TestFlight or store build. Record the phone model, OS version and app build on the Summary sheet. Admin-only steps (approvals, platform vouchers) may stay on a web admin panel; run those steps there.</t>
  </si>
  <si>
    <t xml:space="preserve">M2</t>
  </si>
  <si>
    <t xml:space="preserve">Keyboard and input</t>
  </si>
  <si>
    <t xml:space="preserve">Each field opens the keyboard that fits it: email keyboard (with @) for Email; number pad for Mobile Number, OTP, Postal Code, TIN, quantity and stock; decimal pad for prices and weight. Password fields show no autocorrect or suggestions. The keyboard never hides the focused field or the main button.</t>
  </si>
  <si>
    <t xml:space="preserve">M3</t>
  </si>
  <si>
    <t xml:space="preserve">OTP entry on the phone</t>
  </si>
  <si>
    <t xml:space="preserve">The OTP field accepts a pasted 6-digit code (filling every box when the field is split into boxes) and supports the phone's one-time-code autofill where available. The expiry countdown is based on the time the code was sent, so it keeps running while the user is in the mail app.</t>
  </si>
  <si>
    <t xml:space="preserve">M4</t>
  </si>
  <si>
    <t xml:space="preserve">Interruptions</t>
  </si>
  <si>
    <t xml:space="preserve">Sending the app to the background (Home, switching apps, an incoming call, locking the screen) and returning keeps the current screen and the typed values (passwords may be cleared). Rotating the phone is either blocked (portrait only) or keeps every value. Nothing is submitted unless the user taps the button.</t>
  </si>
  <si>
    <t xml:space="preserve">M5</t>
  </si>
  <si>
    <t xml:space="preserve">No internet or a dropped connection</t>
  </si>
  <si>
    <t xml:space="preserve">With no connection the app shows a clear no-internet message with Retry, never crashes or freezes, and never shows success for something the server did not save. Saving an action offline and sending it later is allowed only if the app shows it as pending, and it is sent exactly once. Write in column D whether your app blocks or queues offline actions.</t>
  </si>
  <si>
    <t xml:space="preserve">M6</t>
  </si>
  <si>
    <t xml:space="preserve">Phone permissions</t>
  </si>
  <si>
    <t xml:space="preserve">Camera, photos/files, location and notifications are requested only when first needed, with a reason. If a permission is denied, the app explains why it is needed, offers a link to the phone's Settings, keeps working for everything that does not need it, and never crashes.</t>
  </si>
  <si>
    <t xml:space="preserve">M7</t>
  </si>
  <si>
    <t xml:space="preserve">Picking and capturing files</t>
  </si>
  <si>
    <t xml:space="preserve">Each upload offers Camera, Gallery/Photos and, for PDFs, Files. The type and size rules (A10 / A16) apply to every source. Camera photos larger than 5 MB are compressed to 5 MB or less before upload. Copy the Test Files to the phone before testing.</t>
  </si>
  <si>
    <t xml:space="preserve">M8</t>
  </si>
  <si>
    <t xml:space="preserve">Back navigation</t>
  </si>
  <si>
    <t xml:space="preserve">The Android Back button and iOS swipe-back go to the previous screen. Leaving a form with unsaved changes asks the user to confirm discarding them. After logging out, Back never shows a logged-in screen.</t>
  </si>
  <si>
    <t xml:space="preserve">M9</t>
  </si>
  <si>
    <t xml:space="preserve">Login session on the phone</t>
  </si>
  <si>
    <t xml:space="preserve">The app stays logged in after it is closed, reopened or the phone restarts, until the user logs out, the password is changed (which also ends the session on the user's other phones), or the session token expires.</t>
  </si>
  <si>
    <t xml:space="preserve">M10</t>
  </si>
  <si>
    <t xml:space="preserve">Push notifications</t>
  </si>
  <si>
    <t xml:space="preserve">Status changes, approvals and chat messages also send a push notification to the phone of each user involved, and to no one else. Tapping a notification opens the related screen, even if the app was closed. If notifications are turned off in phone Settings, the in-app notification list still works.</t>
  </si>
  <si>
    <t xml:space="preserve">M11</t>
  </si>
  <si>
    <t xml:space="preserve">Deep links and direct requests</t>
  </si>
  <si>
    <t xml:space="preserve">Share links and email links (activation, product, store) open the matching screen in the app, or a mobile web page if the app is not installed. Access rules are enforced by the server: a deep link or a direct API request for another role's or another user's data is refused (401/403, an access-denied screen or a redirect to home). Cases that capture or send a request directly need a proxy tool on the test phone (for example HTTP Toolkit, Charles or mitmproxy). If your group cannot capture app traffic, mark those cases Blocked and write 'no proxy' in Remarks.</t>
  </si>
  <si>
    <t xml:space="preserve">M12</t>
  </si>
  <si>
    <t xml:space="preserve">Screen size and display</t>
  </si>
  <si>
    <t xml:space="preserve">Every screen works on a small phone (about 5.5 in) and a large one (about 6.7 in), in light and dark mode, and with the largest system font: no cut-off text, no overlapping controls, and no buttons hidden behind the keyboard.</t>
  </si>
  <si>
    <t xml:space="preserve">M13</t>
  </si>
  <si>
    <t xml:space="preserve">Rider location</t>
  </si>
  <si>
    <t xml:space="preserve">The rider app needs location permission to go Online and sends the rider's location while Online. If location is turned off, or the app is closed for more than 5 minutes, the rider receives no new offers and is shown as Offline. Navigate opens the phone's map app (Google Maps or Waze).</t>
  </si>
  <si>
    <t xml:space="preserve">M14</t>
  </si>
  <si>
    <t xml:space="preserve">Scanning and proof photos</t>
  </si>
  <si>
    <t xml:space="preserve">Waybill barcodes are scanned with the phone camera (with a flashlight toggle), and every scan screen also lets the user type the tracking number. Proof-of-delivery and damage photos are taken live with the in-app camera; old photos from the gallery are not accepted.</t>
  </si>
  <si>
    <t xml:space="preserve">Test data</t>
  </si>
  <si>
    <t xml:space="preserve">Shared by all five module workbooks. All people, stores, numbers and addresses are fictional. Seed these products, vouchers and rates before testing, or replace them with your own and update the Test Data column on the module sheets.</t>
  </si>
  <si>
    <t xml:space="preserve">Accounts (created in the Account Creation test set)</t>
  </si>
  <si>
    <t xml:space="preserve">Role</t>
  </si>
  <si>
    <t xml:space="preserve">Name / store</t>
  </si>
  <si>
    <t xml:space="preserve">Login email</t>
  </si>
  <si>
    <t xml:space="preserve">Password</t>
  </si>
  <si>
    <t xml:space="preserve">Status / notes</t>
  </si>
  <si>
    <t xml:space="preserve">Buyer 1</t>
  </si>
  <si>
    <t xml:space="preserve">Buyer</t>
  </si>
  <si>
    <t xml:space="preserve">Juan Miguel Dela Cruz</t>
  </si>
  <si>
    <t xml:space="preserve">juanmiguel.delacruz@example.com</t>
  </si>
  <si>
    <t xml:space="preserve">Mamimili@2026</t>
  </si>
  <si>
    <t xml:space="preserve">Active. Main buyer.</t>
  </si>
  <si>
    <t xml:space="preserve">Buyer 2</t>
  </si>
  <si>
    <t xml:space="preserve">Ana Marie Reyes</t>
  </si>
  <si>
    <t xml:space="preserve">anamarie.reyes@example.com</t>
  </si>
  <si>
    <t xml:space="preserve">Suki#2026Ana</t>
  </si>
  <si>
    <t xml:space="preserve">Active. Second buyer for concurrency and access tests.</t>
  </si>
  <si>
    <t xml:space="preserve">Seller 1</t>
  </si>
  <si>
    <t xml:space="preserve">Seller</t>
  </si>
  <si>
    <t xml:space="preserve">Maria Clara Handicrafts (Maria Clara Santos)</t>
  </si>
  <si>
    <t xml:space="preserve">mariaclara.santos@example.com</t>
  </si>
  <si>
    <t xml:space="preserve">Tindahan@2026</t>
  </si>
  <si>
    <t xml:space="preserve">Approved. Pickup: Commonwealth, Quezon City (NCR). Main seller.</t>
  </si>
  <si>
    <t xml:space="preserve">Seller 2</t>
  </si>
  <si>
    <t xml:space="preserve">RV Gadget Hub (Roberto Villanueva)</t>
  </si>
  <si>
    <t xml:space="preserve">roberto.villanueva@example.com</t>
  </si>
  <si>
    <t xml:space="preserve">Gadget#Hub26</t>
  </si>
  <si>
    <t xml:space="preserve">Approved. Pickup: Lahug, Cebu City (Visayas).</t>
  </si>
  <si>
    <t xml:space="preserve">Seller 3</t>
  </si>
  <si>
    <t xml:space="preserve">Tindahan ni Lola (test)</t>
  </si>
  <si>
    <t xml:space="preserve">seller.test01@example.com</t>
  </si>
  <si>
    <t xml:space="preserve">Pending Approval. For the unverified-seller cases.</t>
  </si>
  <si>
    <t xml:space="preserve">Logistics 1</t>
  </si>
  <si>
    <t xml:space="preserve">Logistics</t>
  </si>
  <si>
    <t xml:space="preserve">Bilis Hatid Express Inc. (Carlos Antonio Mendoza)</t>
  </si>
  <si>
    <t xml:space="preserve">operations@bilishatid.example.com</t>
  </si>
  <si>
    <t xml:space="preserve">Hatid@2026</t>
  </si>
  <si>
    <t xml:space="preserve">Approved. Serves NCR and CALABARZON. Main logistics account.</t>
  </si>
  <si>
    <t xml:space="preserve">Logistics 2</t>
  </si>
  <si>
    <t xml:space="preserve">Agila Cargo Movers Corp. (Liza Mae Fernandez)</t>
  </si>
  <si>
    <t xml:space="preserve">admin@agilacargo.example.com</t>
  </si>
  <si>
    <t xml:space="preserve">Agila#Cargo26</t>
  </si>
  <si>
    <t xml:space="preserve">Approved. Serves Davao. Used for cross-company access tests.</t>
  </si>
  <si>
    <t xml:space="preserve">Rider 1</t>
  </si>
  <si>
    <t xml:space="preserve">Rider</t>
  </si>
  <si>
    <t xml:space="preserve">Pedro Jose Garcia (Motorcycle, 123ABC)</t>
  </si>
  <si>
    <t xml:space="preserve">pedrojose.garcia@example.com</t>
  </si>
  <si>
    <t xml:space="preserve">Rider@2026</t>
  </si>
  <si>
    <t xml:space="preserve">Active, under Logistics 1. Main rider.</t>
  </si>
  <si>
    <t xml:space="preserve">Rider 2</t>
  </si>
  <si>
    <t xml:space="preserve">Mark Anthony Bautista (Van, NBC1234)</t>
  </si>
  <si>
    <t xml:space="preserve">markanthony.bautista@example.com</t>
  </si>
  <si>
    <t xml:space="preserve">Hatid#Mark26</t>
  </si>
  <si>
    <t xml:space="preserve">Active, under Logistics 1. Second rider for concurrency tests.</t>
  </si>
  <si>
    <t xml:space="preserve">Rider 3</t>
  </si>
  <si>
    <t xml:space="preserve">Ramon Cruz (Motorcycle, 456DEF)</t>
  </si>
  <si>
    <t xml:space="preserve">rider.test01@example.com</t>
  </si>
  <si>
    <t xml:space="preserve">Suspended by Logistics 1. For blocked-rider cases.</t>
  </si>
  <si>
    <t xml:space="preserve">Admin</t>
  </si>
  <si>
    <t xml:space="preserve">Seeded admin</t>
  </si>
  <si>
    <t xml:space="preserve">Use the admin account already seeded in your system</t>
  </si>
  <si>
    <t xml:space="preserve">Creates platform vouchers PLAT100 and FREESHIP.</t>
  </si>
  <si>
    <t xml:space="preserve">Buyer addresses</t>
  </si>
  <si>
    <t xml:space="preserve">Owner</t>
  </si>
  <si>
    <t xml:space="preserve">Label</t>
  </si>
  <si>
    <t xml:space="preserve">Address</t>
  </si>
  <si>
    <t xml:space="preserve">Recipient / phone</t>
  </si>
  <si>
    <t xml:space="preserve">Notes</t>
  </si>
  <si>
    <t xml:space="preserve">ADDR-1</t>
  </si>
  <si>
    <t xml:space="preserve">Home (default)</t>
  </si>
  <si>
    <t xml:space="preserve">45 Kalayaan Ave., Brgy. Central, Quezon City, Metro Manila, NCR 1100</t>
  </si>
  <si>
    <t xml:space="preserve">Juan Miguel Dela Cruz / 09171234567</t>
  </si>
  <si>
    <t xml:space="preserve">Zone NCR</t>
  </si>
  <si>
    <t xml:space="preserve">ADDR-2</t>
  </si>
  <si>
    <t xml:space="preserve">Office</t>
  </si>
  <si>
    <t xml:space="preserve">12F Pacific Tower, 6750 Ayala Ave., Brgy. San Lorenzo, Makati City, Metro Manila, NCR 1223</t>
  </si>
  <si>
    <t xml:space="preserve">ADDR-3</t>
  </si>
  <si>
    <t xml:space="preserve">78 Osmeña Blvd., Brgy. Capitol Site, Cebu City, Cebu, Region VII 6000</t>
  </si>
  <si>
    <t xml:space="preserve">Ana Marie Reyes / 09173456789</t>
  </si>
  <si>
    <t xml:space="preserve">Zone Visayas</t>
  </si>
  <si>
    <t xml:space="preserve">ADDR-4</t>
  </si>
  <si>
    <t xml:space="preserve">Province</t>
  </si>
  <si>
    <t xml:space="preserve">Purok 2, Brgy. Raele, Itbayat, Batanes, Region II 3905</t>
  </si>
  <si>
    <t xml:space="preserve">Unserviceable area (no logistics zone covers it)</t>
  </si>
  <si>
    <t xml:space="preserve">Store categories (Seller 1)</t>
  </si>
  <si>
    <t xml:space="preserve">Category</t>
  </si>
  <si>
    <t xml:space="preserve">Parent</t>
  </si>
  <si>
    <t xml:space="preserve">Visible</t>
  </si>
  <si>
    <t xml:space="preserve">Products</t>
  </si>
  <si>
    <t xml:space="preserve">CAT-1</t>
  </si>
  <si>
    <t xml:space="preserve">Bags</t>
  </si>
  <si>
    <t xml:space="preserve">Yes</t>
  </si>
  <si>
    <t xml:space="preserve">P-01</t>
  </si>
  <si>
    <t xml:space="preserve">CAT-2</t>
  </si>
  <si>
    <t xml:space="preserve">Home Decor</t>
  </si>
  <si>
    <t xml:space="preserve">Parent category</t>
  </si>
  <si>
    <t xml:space="preserve">CAT-3</t>
  </si>
  <si>
    <t xml:space="preserve">Lamps</t>
  </si>
  <si>
    <t xml:space="preserve">P-03</t>
  </si>
  <si>
    <t xml:space="preserve">Subcategory (level 2)</t>
  </si>
  <si>
    <t xml:space="preserve">CAT-4</t>
  </si>
  <si>
    <t xml:space="preserve">Baskets</t>
  </si>
  <si>
    <t xml:space="preserve">P-02</t>
  </si>
  <si>
    <t xml:space="preserve">CAT-5</t>
  </si>
  <si>
    <t xml:space="preserve">Kitchen &amp; Dining</t>
  </si>
  <si>
    <t xml:space="preserve">P-04</t>
  </si>
  <si>
    <t xml:space="preserve">Product</t>
  </si>
  <si>
    <t xml:space="preserve">Price / variants</t>
  </si>
  <si>
    <t xml:space="preserve">Stock</t>
  </si>
  <si>
    <t xml:space="preserve">Weight and size / other</t>
  </si>
  <si>
    <t xml:space="preserve">Abaca Woven Tote Bag</t>
  </si>
  <si>
    <t xml:space="preserve">Color: Natural, Black × Size: S ₱199, M ₱249, L ₱299 (6 variants). SKU MCH-TOTE-&lt;COLOR&gt;-&lt;SIZE&gt;</t>
  </si>
  <si>
    <t xml:space="preserve">Natural-S 10, Natural-M 8, Natural-L 5, Black-S 10, Black-M 0, Black-L 3</t>
  </si>
  <si>
    <t xml:space="preserve">0.4 kg; 40 × 35 × 5 cm. Platform category: Women's Bags</t>
  </si>
  <si>
    <t xml:space="preserve">Rattan Fruit Basket</t>
  </si>
  <si>
    <t xml:space="preserve">₱450.00 (no variants)</t>
  </si>
  <si>
    <t xml:space="preserve">20</t>
  </si>
  <si>
    <t xml:space="preserve">0.8 kg; 30 × 30 × 15 cm. Platform category: Home &amp; Living</t>
  </si>
  <si>
    <t xml:space="preserve">Capiz Shell Lamp</t>
  </si>
  <si>
    <t xml:space="preserve">₱1,250.00</t>
  </si>
  <si>
    <t xml:space="preserve">1 (for the oversell case)</t>
  </si>
  <si>
    <t xml:space="preserve">1.5 kg; 30 × 30 × 40 cm</t>
  </si>
  <si>
    <t xml:space="preserve">Banig Placemat Set of 4</t>
  </si>
  <si>
    <t xml:space="preserve">₱350.00</t>
  </si>
  <si>
    <t xml:space="preserve">0 (out of stock)</t>
  </si>
  <si>
    <t xml:space="preserve">0.5 kg</t>
  </si>
  <si>
    <t xml:space="preserve">P-05</t>
  </si>
  <si>
    <t xml:space="preserve">USB-C Fast Charger 20W</t>
  </si>
  <si>
    <t xml:space="preserve">₱399.00</t>
  </si>
  <si>
    <t xml:space="preserve">50</t>
  </si>
  <si>
    <t xml:space="preserve">0.2 kg; 10 × 8 × 5 cm</t>
  </si>
  <si>
    <t xml:space="preserve">P-06</t>
  </si>
  <si>
    <t xml:space="preserve">Wireless Earbuds X2</t>
  </si>
  <si>
    <t xml:space="preserve">Color: Black, White; ₱1,499.00 each</t>
  </si>
  <si>
    <t xml:space="preserve">Black 10, White 10</t>
  </si>
  <si>
    <t xml:space="preserve">0.3 kg</t>
  </si>
  <si>
    <t xml:space="preserve">P-07</t>
  </si>
  <si>
    <t xml:space="preserve">Power Bank 10000mAh</t>
  </si>
  <si>
    <t xml:space="preserve">₱899.00; per-buyer purchase limit 2</t>
  </si>
  <si>
    <t xml:space="preserve">5</t>
  </si>
  <si>
    <t xml:space="preserve">0.4 kg</t>
  </si>
  <si>
    <t xml:space="preserve">Vouchers</t>
  </si>
  <si>
    <t xml:space="preserve">Code</t>
  </si>
  <si>
    <t xml:space="preserve">Owner / funded by</t>
  </si>
  <si>
    <t xml:space="preserve">Type</t>
  </si>
  <si>
    <t xml:space="preserve">Rule</t>
  </si>
  <si>
    <t xml:space="preserve">Limits / validity</t>
  </si>
  <si>
    <t xml:space="preserve">Display</t>
  </si>
  <si>
    <t xml:space="preserve">MCH50</t>
  </si>
  <si>
    <t xml:space="preserve">Seller 1 / seller</t>
  </si>
  <si>
    <t xml:space="preserve">Fixed ₱50 off</t>
  </si>
  <si>
    <t xml:space="preserve">Min spend ₱300; all Seller 1 products</t>
  </si>
  <si>
    <t xml:space="preserve">100 total, 1 per buyer; valid this month</t>
  </si>
  <si>
    <t xml:space="preserve">Claimable</t>
  </si>
  <si>
    <t xml:space="preserve">MCH10</t>
  </si>
  <si>
    <t xml:space="preserve">10% off, cap ₱100</t>
  </si>
  <si>
    <t xml:space="preserve">Min spend ₱500</t>
  </si>
  <si>
    <t xml:space="preserve">50 total, 1 per buyer; valid this month</t>
  </si>
  <si>
    <t xml:space="preserve">RVSECRET</t>
  </si>
  <si>
    <t xml:space="preserve">Seller 2 / seller</t>
  </si>
  <si>
    <t xml:space="preserve">Fixed ₱100 off</t>
  </si>
  <si>
    <t xml:space="preserve">Min spend ₱1,000</t>
  </si>
  <si>
    <t xml:space="preserve">20 total, 1 per buyer</t>
  </si>
  <si>
    <t xml:space="preserve">Code-only (hidden)</t>
  </si>
  <si>
    <t xml:space="preserve">MCHOLD</t>
  </si>
  <si>
    <t xml:space="preserve">Fixed ₱30 off</t>
  </si>
  <si>
    <t xml:space="preserve">Min spend ₱200</t>
  </si>
  <si>
    <t xml:space="preserve">Expired yesterday</t>
  </si>
  <si>
    <t xml:space="preserve">MCHSOON</t>
  </si>
  <si>
    <t xml:space="preserve">Starts tomorrow</t>
  </si>
  <si>
    <t xml:space="preserve">MCHMAX</t>
  </si>
  <si>
    <t xml:space="preserve">Fixed ₱20 off</t>
  </si>
  <si>
    <t xml:space="preserve">Min spend ₱100</t>
  </si>
  <si>
    <t xml:space="preserve">Total usage limit 1, already used by Buyer 2</t>
  </si>
  <si>
    <t xml:space="preserve">PLAT100</t>
  </si>
  <si>
    <t xml:space="preserve">Admin / platform</t>
  </si>
  <si>
    <t xml:space="preserve">Min spend ₱1,000 (whole order)</t>
  </si>
  <si>
    <t xml:space="preserve">1 per buyer</t>
  </si>
  <si>
    <t xml:space="preserve">FREESHIP</t>
  </si>
  <si>
    <t xml:space="preserve">Shipping, up to ₱50 off</t>
  </si>
  <si>
    <t xml:space="preserve">Min spend ₱300</t>
  </si>
  <si>
    <t xml:space="preserve">Shipping rate table (test rates)</t>
  </si>
  <si>
    <t xml:space="preserve">Route</t>
  </si>
  <si>
    <t xml:space="preserve">First kg</t>
  </si>
  <si>
    <t xml:space="preserve">Each additional kg</t>
  </si>
  <si>
    <t xml:space="preserve">Example</t>
  </si>
  <si>
    <t xml:space="preserve">Within NCR</t>
  </si>
  <si>
    <t xml:space="preserve">₱50.00</t>
  </si>
  <si>
    <t xml:space="preserve">₱15.00</t>
  </si>
  <si>
    <t xml:space="preserve">1.2 kg → 2 kg → ₱65.00</t>
  </si>
  <si>
    <t xml:space="preserve">Seller 1 to ADDR-1 or ADDR-2</t>
  </si>
  <si>
    <t xml:space="preserve">Visayas to NCR</t>
  </si>
  <si>
    <t xml:space="preserve">₱120.00</t>
  </si>
  <si>
    <t xml:space="preserve">₱40.00</t>
  </si>
  <si>
    <t xml:space="preserve">0.2 kg → 1 kg → ₱120.00</t>
  </si>
  <si>
    <t xml:space="preserve">Seller 2 to ADDR-1</t>
  </si>
  <si>
    <t xml:space="preserve">NCR to Visayas</t>
  </si>
  <si>
    <t xml:space="preserve">0.4 kg → 1 kg → ₱120.00</t>
  </si>
  <si>
    <t xml:space="preserve">Seller 1 to ADDR-3</t>
  </si>
  <si>
    <t xml:space="preserve">Within Visayas</t>
  </si>
  <si>
    <t xml:space="preserve">₱60.00</t>
  </si>
  <si>
    <t xml:space="preserve">₱20.00</t>
  </si>
  <si>
    <t xml:space="preserve">Seller 2 to ADDR-3</t>
  </si>
  <si>
    <t xml:space="preserve">Worked checkout example (used in Buyer B7/B8, Seller S12 and Cross-cutting X3)</t>
  </si>
  <si>
    <t xml:space="preserve">Line</t>
  </si>
  <si>
    <t xml:space="preserve">Item</t>
  </si>
  <si>
    <t xml:space="preserve">Amount</t>
  </si>
  <si>
    <t xml:space="preserve">How it is calculated</t>
  </si>
  <si>
    <t xml:space="preserve">1</t>
  </si>
  <si>
    <t xml:space="preserve">Seller 1: Abaca Tote Natural-M × 1 + Rattan Basket × 1</t>
  </si>
  <si>
    <t xml:space="preserve">₱699.00</t>
  </si>
  <si>
    <t xml:space="preserve">249 + 450</t>
  </si>
  <si>
    <t xml:space="preserve">2</t>
  </si>
  <si>
    <t xml:space="preserve">Seller 2: USB-C Charger × 1</t>
  </si>
  <si>
    <t xml:space="preserve">3</t>
  </si>
  <si>
    <t xml:space="preserve">Merchandise subtotal</t>
  </si>
  <si>
    <t xml:space="preserve">₱1,098.00</t>
  </si>
  <si>
    <t xml:space="preserve">699 + 399</t>
  </si>
  <si>
    <t xml:space="preserve">4</t>
  </si>
  <si>
    <t xml:space="preserve">Shipping, Seller 1 (1.2 kg, within NCR)</t>
  </si>
  <si>
    <t xml:space="preserve">₱65.00</t>
  </si>
  <si>
    <t xml:space="preserve">50 + 15</t>
  </si>
  <si>
    <t xml:space="preserve">Shipping, Seller 2 (0.2 kg, Visayas to NCR)</t>
  </si>
  <si>
    <t xml:space="preserve">6</t>
  </si>
  <si>
    <t xml:space="preserve">Store voucher MCH50 (Seller 1)</t>
  </si>
  <si>
    <t xml:space="preserve">−₱50.00</t>
  </si>
  <si>
    <t xml:space="preserve">Seller 1 subtotal 699 ≥ 300</t>
  </si>
  <si>
    <t xml:space="preserve">7</t>
  </si>
  <si>
    <t xml:space="preserve">Platform voucher PLAT100</t>
  </si>
  <si>
    <t xml:space="preserve">−₱100.00</t>
  </si>
  <si>
    <t xml:space="preserve">Order subtotal 1,098 ≥ 1,000</t>
  </si>
  <si>
    <t xml:space="preserve">8</t>
  </si>
  <si>
    <t xml:space="preserve">Shipping voucher FREESHIP</t>
  </si>
  <si>
    <t xml:space="preserve">Capped at ₱50</t>
  </si>
  <si>
    <t xml:space="preserve">9</t>
  </si>
  <si>
    <t xml:space="preserve">Total to pay</t>
  </si>
  <si>
    <t xml:space="preserve">₱1,083.00</t>
  </si>
  <si>
    <t xml:space="preserve">1,098 + 185 − 50 − 100 − 50</t>
  </si>
  <si>
    <t xml:space="preserve">10</t>
  </si>
  <si>
    <t xml:space="preserve">Seller 1 net earnings for this order</t>
  </si>
  <si>
    <t xml:space="preserve">₱616.55</t>
  </si>
  <si>
    <t xml:space="preserve">(699 − 50) = 649 gross after seller vouchers; 5% commission = 32.45</t>
  </si>
  <si>
    <t xml:space="preserve">11</t>
  </si>
  <si>
    <t xml:space="preserve">Seller 2 net earnings for this order</t>
  </si>
  <si>
    <t xml:space="preserve">₱379.05</t>
  </si>
  <si>
    <t xml:space="preserve">399 − 5% commission (19.95)</t>
  </si>
  <si>
    <t xml:space="preserve">Other values</t>
  </si>
  <si>
    <t xml:space="preserve">Value</t>
  </si>
  <si>
    <t xml:space="preserve">Delivery OTP</t>
  </si>
  <si>
    <t xml:space="preserve">Shown in Buyer 1's order screen when Out for Delivery</t>
  </si>
  <si>
    <t xml:space="preserve">6 digits (A32)</t>
  </si>
  <si>
    <t xml:space="preserve">₱50.00 per delivery, ₱30.00 per pickup, ₱0.00 per failed attempt</t>
  </si>
  <si>
    <t xml:space="preserve">PLAT100 split (worked example)</t>
  </si>
  <si>
    <t xml:space="preserve">Seller 1 order ₱63.66; Seller 2 order ₱36.34</t>
  </si>
  <si>
    <t xml:space="preserve">100 × 699/1,098 and 100 × 399/1,098 (A8)</t>
  </si>
  <si>
    <t xml:space="preserve">Spare emails</t>
  </si>
  <si>
    <t xml:space="preserve">buyer.test01@example.com to buyer.test10@example.com</t>
  </si>
  <si>
    <t xml:space="preserve">Same pattern for seller.test, logistics.test, rider.test</t>
  </si>
  <si>
    <t xml:space="preserve">Spare mobile numbers</t>
  </si>
  <si>
    <t xml:space="preserve">09170000001 to 09170000020</t>
  </si>
  <si>
    <t xml:space="preserve">Long text samples</t>
  </si>
  <si>
    <t xml:space="preserve">Generate with any 'lorem ipsum' tool to the exact character count</t>
  </si>
  <si>
    <t xml:space="preserve">Check the count in a character counter before pasting</t>
  </si>
  <si>
    <t xml:space="preserve">Script and injection strings</t>
  </si>
  <si>
    <t xml:space="preserve">&lt;script&gt;alert(1)&lt;/script&gt;
' OR '1'='1
"&gt;&lt;img src=x onerror=alert(1)&gt;</t>
  </si>
  <si>
    <t xml:space="preserve">Must be shown as text and never run</t>
  </si>
  <si>
    <t xml:space="preserve">Couriers (created in the Account Creation test set)</t>
  </si>
  <si>
    <t xml:space="preserve">Courier 1</t>
  </si>
  <si>
    <t xml:space="preserve">Courier</t>
  </si>
  <si>
    <t xml:space="preserve">Ernesto Villareal (4-Wheeler Closed Van Truck, NAB4521, 3,000 kg)</t>
  </si>
  <si>
    <t xml:space="preserve">ernesto.villareal@example.com</t>
  </si>
  <si>
    <t xml:space="preserve">Courier@2026</t>
  </si>
  <si>
    <t xml:space="preserve">Active, under Logistics 1, home hub HUB-QC. Main courier.</t>
  </si>
  <si>
    <t xml:space="preserve">Courier 2</t>
  </si>
  <si>
    <t xml:space="preserve">Rogelio Dimaculangan (Van, CAV7788, 800 kg)</t>
  </si>
  <si>
    <t xml:space="preserve">rogelio.dimaculangan@example.com</t>
  </si>
  <si>
    <t xml:space="preserve">Linehaul#Rog26</t>
  </si>
  <si>
    <t xml:space="preserve">Active, under Logistics 1, home hub HUB-PSG. Second courier for reassignment tests.</t>
  </si>
  <si>
    <t xml:space="preserve">Courier 3</t>
  </si>
  <si>
    <t xml:space="preserve">Danilo Ramos (Van, DAN3030, 800 kg)</t>
  </si>
  <si>
    <t xml:space="preserve">courier.test01@example.com</t>
  </si>
  <si>
    <t xml:space="preserve">Suspended by Logistics 1. For blocked-courier cases.</t>
  </si>
  <si>
    <t xml:space="preserve">Courier 4</t>
  </si>
  <si>
    <t xml:space="preserve">Joel Abellana (Van, AGL5050, 800 kg)</t>
  </si>
  <si>
    <t xml:space="preserve">courier.test02@example.com</t>
  </si>
  <si>
    <t xml:space="preserve">Active, under Logistics 2, home hub HUB-DVO. For cross-company cases.</t>
  </si>
  <si>
    <t xml:space="preserve">Hubs</t>
  </si>
  <si>
    <t xml:space="preserve">Hub</t>
  </si>
  <si>
    <t xml:space="preserve">Logistics company</t>
  </si>
  <si>
    <t xml:space="preserve">Serves</t>
  </si>
  <si>
    <t xml:space="preserve">HUB-QC</t>
  </si>
  <si>
    <t xml:space="preserve">Bilis Hatid QC First-Mile Hub</t>
  </si>
  <si>
    <t xml:space="preserve">1200 Commonwealth Ave., Brgy. Holy Spirit, Quezon City, NCR 1127</t>
  </si>
  <si>
    <t xml:space="preserve">Pickups from Quezon City sellers (Seller 1); deliveries to Quezon City (ADDR-1)</t>
  </si>
  <si>
    <t xml:space="preserve">Origin hub of TRIP-1</t>
  </si>
  <si>
    <t xml:space="preserve">HUB-PSG</t>
  </si>
  <si>
    <t xml:space="preserve">Bilis Hatid Pasig Main Hub</t>
  </si>
  <si>
    <t xml:space="preserve">Unit 5B, 88 West Capitol Drive, Brgy. Kapitolyo, Pasig City, NCR 1603</t>
  </si>
  <si>
    <t xml:space="preserve">Deliveries to Makati, Pasig and Mandaluyong (ADDR-2)</t>
  </si>
  <si>
    <t xml:space="preserve">Destination hub of TRIP-1</t>
  </si>
  <si>
    <t xml:space="preserve">HUB-STR</t>
  </si>
  <si>
    <t xml:space="preserve">Bilis Hatid Sta. Rosa Hub</t>
  </si>
  <si>
    <t xml:space="preserve">Lot 3, Balibago Complex, Brgy. Balibago, Santa Rosa, Laguna 4026</t>
  </si>
  <si>
    <t xml:space="preserve">CALABARZON deliveries</t>
  </si>
  <si>
    <t xml:space="preserve">Used for wrong-hub cases</t>
  </si>
  <si>
    <t xml:space="preserve">HUB-DVO</t>
  </si>
  <si>
    <t xml:space="preserve">Agila Davao Hub</t>
  </si>
  <si>
    <t xml:space="preserve">Door 3, 210 Sampaguita St., Brgy. Buhangin, Davao City 8000</t>
  </si>
  <si>
    <t xml:space="preserve">Davao deliveries</t>
  </si>
  <si>
    <t xml:space="preserve">Used for cross-company cases</t>
  </si>
  <si>
    <t xml:space="preserve">Linehaul trip and courier values</t>
  </si>
  <si>
    <t xml:space="preserve">Details</t>
  </si>
  <si>
    <t xml:space="preserve">Weight</t>
  </si>
  <si>
    <t xml:space="preserve">TRIP-1</t>
  </si>
  <si>
    <t xml:space="preserve">Linehaul trip</t>
  </si>
  <si>
    <t xml:space="preserve">HUB-QC → HUB-PSG</t>
  </si>
  <si>
    <t xml:space="preserve">5 COD parcels from Seller 1 to ADDR-2 (Buyer 1, Makati): 4 orders of 1 × P-02 and 1 order of 1 × P-01 Natural-M</t>
  </si>
  <si>
    <t xml:space="preserve">3.6 kg (4 × 0.8 + 0.4)</t>
  </si>
  <si>
    <t xml:space="preserve">Courier 1; seal BH-0004521; pay ₱1,000.00</t>
  </si>
  <si>
    <t xml:space="preserve">P-08</t>
  </si>
  <si>
    <t xml:space="preserve">Load-test product (Seller 1)</t>
  </si>
  <si>
    <t xml:space="preserve">Narra Coffee Table, ₱4,500.00, stock 50</t>
  </si>
  <si>
    <t xml:space="preserve">Seed only for the trip-capacity case</t>
  </si>
  <si>
    <t xml:space="preserve">25.0 kg each</t>
  </si>
  <si>
    <t xml:space="preserve">4 parcels = 100.0 kg</t>
  </si>
  <si>
    <t xml:space="preserve">Courier pay</t>
  </si>
  <si>
    <t xml:space="preserve">Per completed trip</t>
  </si>
  <si>
    <t xml:space="preserve">Van ₱600.00; 4-Wheeler Closed Van Truck ₱1,000.00; 6-Wheeler Truck ₱1,500.00</t>
  </si>
  <si>
    <t xml:space="preserve">Declined, cancelled or reassigned-away trips ₱0.00</t>
  </si>
  <si>
    <t xml:space="preserve">Seal number</t>
  </si>
  <si>
    <t xml:space="preserve">Format</t>
  </si>
  <si>
    <t xml:space="preserve">BH- followed by 7 digits</t>
  </si>
  <si>
    <t xml:space="preserve">Example: BH-0004521</t>
  </si>
  <si>
    <t xml:space="preserve">Pre-trip checklist</t>
  </si>
  <si>
    <t xml:space="preserve">Items</t>
  </si>
  <si>
    <t xml:space="preserve">Tires, Lights, Brakes, Fuel, Cargo door lock</t>
  </si>
  <si>
    <t xml:space="preserve">Each OK or Not OK; Not OK needs a note</t>
  </si>
  <si>
    <t xml:space="preserve">Spare couriers</t>
  </si>
  <si>
    <t xml:space="preserve">Emails and mobiles</t>
  </si>
  <si>
    <t xml:space="preserve">courier.test03@example.com to courier.test10@example.com</t>
  </si>
  <si>
    <t xml:space="preserve">09170000021 to 09170000025</t>
  </si>
  <si>
    <t xml:space="preserve">Upload files to prepare</t>
  </si>
  <si>
    <t xml:space="preserve">Prepare these files before testing uploads. Use sample images only. The size limit is 5 MB, which is 5,120 KB or 5,242,880 bytes. Copy every file to the test phone before testing: PDFs and other documents to Files / Downloads, and images to Photos (gallery) so they can be picked from either place.</t>
  </si>
  <si>
    <t xml:space="preserve">File name</t>
  </si>
  <si>
    <t xml:space="preserve">Size</t>
  </si>
  <si>
    <t xml:space="preserve">Used for</t>
  </si>
  <si>
    <t xml:space="preserve">Expected result</t>
  </si>
  <si>
    <t xml:space="preserve">product_front.jpg</t>
  </si>
  <si>
    <t xml:space="preserve">JPG</t>
  </si>
  <si>
    <t xml:space="preserve">1.2 MB</t>
  </si>
  <si>
    <t xml:space="preserve">Product image</t>
  </si>
  <si>
    <t xml:space="preserve">Accept</t>
  </si>
  <si>
    <t xml:space="preserve">product_side.png</t>
  </si>
  <si>
    <t xml:space="preserve">PNG</t>
  </si>
  <si>
    <t xml:space="preserve">2.4 MB</t>
  </si>
  <si>
    <t xml:space="preserve">store_logo.png</t>
  </si>
  <si>
    <t xml:space="preserve">300 KB</t>
  </si>
  <si>
    <t xml:space="preserve">Store logo</t>
  </si>
  <si>
    <t xml:space="preserve">store_banner.jpg</t>
  </si>
  <si>
    <t xml:space="preserve">1.8 MB</t>
  </si>
  <si>
    <t xml:space="preserve">Store banner</t>
  </si>
  <si>
    <t xml:space="preserve">review_photo.jpg</t>
  </si>
  <si>
    <t xml:space="preserve">1.5 MB</t>
  </si>
  <si>
    <t xml:space="preserve">Review photo / return evidence / chat attachment</t>
  </si>
  <si>
    <t xml:space="preserve">return_video.mp4</t>
  </si>
  <si>
    <t xml:space="preserve">MP4</t>
  </si>
  <si>
    <t xml:space="preserve">8 MB</t>
  </si>
  <si>
    <t xml:space="preserve">Return evidence video (if videos are supported)</t>
  </si>
  <si>
    <t xml:space="preserve">Accept per your rule</t>
  </si>
  <si>
    <t xml:space="preserve">pod_photo.jpg</t>
  </si>
  <si>
    <t xml:space="preserve">1.1 MB</t>
  </si>
  <si>
    <t xml:space="preserve">Rider proof of delivery</t>
  </si>
  <si>
    <t xml:space="preserve">size_4.9MB.jpg</t>
  </si>
  <si>
    <t xml:space="preserve">4.9 MB (5,138,022 bytes)</t>
  </si>
  <si>
    <t xml:space="preserve">Just under the size limit</t>
  </si>
  <si>
    <t xml:space="preserve">size_5.0MB.jpg</t>
  </si>
  <si>
    <t xml:space="preserve">5.0 MB (5,242,880 bytes)</t>
  </si>
  <si>
    <t xml:space="preserve">Exactly at the size limit</t>
  </si>
  <si>
    <t xml:space="preserve">size_5.1MB.jpg</t>
  </si>
  <si>
    <t xml:space="preserve">5.1 MB (5,347,738 bytes)</t>
  </si>
  <si>
    <t xml:space="preserve">Just over the size limit</t>
  </si>
  <si>
    <t xml:space="preserve">Reject</t>
  </si>
  <si>
    <t xml:space="preserve">price_list.docx</t>
  </si>
  <si>
    <t xml:space="preserve">DOCX</t>
  </si>
  <si>
    <t xml:space="preserve">320 KB</t>
  </si>
  <si>
    <t xml:space="preserve">Wrong file type (Word document)</t>
  </si>
  <si>
    <t xml:space="preserve">installer.exe</t>
  </si>
  <si>
    <t xml:space="preserve">EXE</t>
  </si>
  <si>
    <t xml:space="preserve">2.1 MB</t>
  </si>
  <si>
    <t xml:space="preserve">Wrong file type (program)</t>
  </si>
  <si>
    <t xml:space="preserve">renamed_exe.jpg</t>
  </si>
  <si>
    <t xml:space="preserve">JPG (really an EXE)</t>
  </si>
  <si>
    <t xml:space="preserve">Program renamed to .jpg</t>
  </si>
  <si>
    <t xml:space="preserve">pro_license.jpg</t>
  </si>
  <si>
    <t xml:space="preserve">1.4 MB</t>
  </si>
  <si>
    <t xml:space="preserve">Courier's professional driver's license</t>
  </si>
  <si>
    <t xml:space="preserve">pro_license.png</t>
  </si>
  <si>
    <t xml:space="preserve">Courier's professional driver's license in PNG</t>
  </si>
  <si>
    <t xml:space="preserve">truck_or_cr.pdf</t>
  </si>
  <si>
    <t xml:space="preserve">PDF</t>
  </si>
  <si>
    <t xml:space="preserve">950 KB</t>
  </si>
  <si>
    <t xml:space="preserve">Courier's truck Official Receipt and Certificate of Registration</t>
  </si>
  <si>
    <t xml:space="preserve">nbi_clearance.pdf</t>
  </si>
  <si>
    <t xml:space="preserve">600 KB</t>
  </si>
  <si>
    <t xml:space="preserve">Courier's NBI Clearance</t>
  </si>
  <si>
    <t xml:space="preserve">incident_photo.jpg</t>
  </si>
  <si>
    <t xml:space="preserve">1.3 MB</t>
  </si>
  <si>
    <t xml:space="preserve">Courier breakdown report / damaged parcel at unloading</t>
  </si>
  <si>
    <t xml:space="preserve">(take with the phone camera)</t>
  </si>
  <si>
    <t xml:space="preserve">JPG / HEIC</t>
  </si>
  <si>
    <t xml:space="preserve">Often 3–12 MB at full resolution</t>
  </si>
  <si>
    <t xml:space="preserve">Camera photo taken inside the app</t>
  </si>
  <si>
    <t xml:space="preserve">Compressed to 5 MB or less and accepted, or rejected with a size message (M7)</t>
  </si>
  <si>
    <t xml:space="preserve">(screenshot taken on the phone)</t>
  </si>
  <si>
    <t xml:space="preserve">Usually under 1 MB</t>
  </si>
  <si>
    <t xml:space="preserve">Image picked from the gallery</t>
  </si>
  <si>
    <t xml:space="preserve">Test Case ID</t>
  </si>
  <si>
    <t xml:space="preserve">Module</t>
  </si>
  <si>
    <t xml:space="preserve">Test Scenario</t>
  </si>
  <si>
    <t xml:space="preserve">Technique</t>
  </si>
  <si>
    <t xml:space="preserve">Priority</t>
  </si>
  <si>
    <t xml:space="preserve">Preconditions</t>
  </si>
  <si>
    <t xml:space="preserve">Test Steps</t>
  </si>
  <si>
    <t xml:space="preserve">Test Data</t>
  </si>
  <si>
    <t xml:space="preserve">Expected Result</t>
  </si>
  <si>
    <t xml:space="preserve">Assumption Ref</t>
  </si>
  <si>
    <t xml:space="preserve">Actual Result</t>
  </si>
  <si>
    <t xml:space="preserve">Status</t>
  </si>
  <si>
    <t xml:space="preserve">Remarks</t>
  </si>
  <si>
    <t xml:space="preserve">RID-PROF-001</t>
  </si>
  <si>
    <t xml:space="preserve">Profile, Vehicle &amp; Documents</t>
  </si>
  <si>
    <t xml:space="preserve">View profile, vehicle and verification status</t>
  </si>
  <si>
    <t xml:space="preserve">Medium</t>
  </si>
  <si>
    <t xml:space="preserve">Logged in as Rider 1.</t>
  </si>
  <si>
    <t xml:space="preserve">1. Open My Profile.
2. Open each uploaded document.</t>
  </si>
  <si>
    <t xml:space="preserve">Shows Pedro Jose Garcia, license N01-23-456789, expiry 03/22/2030, Motorcycle, plate 123ABC, company Bilis Hatid Express Inc., status Active. Both documents open.</t>
  </si>
  <si>
    <t xml:space="preserve">RID-PROF-002</t>
  </si>
  <si>
    <t xml:space="preserve">Update vehicle details</t>
  </si>
  <si>
    <t xml:space="preserve">1. Change the plate number and upload a new OR/CR.
2. Save.
3. As Logistics 1, open Rider 1's record.</t>
  </si>
  <si>
    <t xml:space="preserve">Plate: 789GHI
OR/CR: or_cr.pdf (900 KB)</t>
  </si>
  <si>
    <t xml:space="preserve">The change is saved and shown to Logistics 1 with the new OR/CR, flagged for re-verification. The old plate is no longer shown.</t>
  </si>
  <si>
    <t xml:space="preserve">RID-PROF-003</t>
  </si>
  <si>
    <t xml:space="preserve">Plate number already used</t>
  </si>
  <si>
    <t xml:space="preserve">1. Change the plate to each value and save.</t>
  </si>
  <si>
    <t xml:space="preserve">NBC1234
nbc1234</t>
  </si>
  <si>
    <t xml:space="preserve">Both are blocked as already registered. The plate stays 123ABC.</t>
  </si>
  <si>
    <t xml:space="preserve">RID-PROF-004</t>
  </si>
  <si>
    <t xml:space="preserve">License expiry boundary</t>
  </si>
  <si>
    <t xml:space="preserve">High</t>
  </si>
  <si>
    <t xml:space="preserve">1. Set the license expiry to yesterday and save.
2. Set it to today and save.</t>
  </si>
  <si>
    <t xml:space="preserve">Yesterday is rejected with an expiry message. Today is accepted.</t>
  </si>
  <si>
    <t xml:space="preserve">RID-PROF-005</t>
  </si>
  <si>
    <t xml:space="preserve">Document upload rules</t>
  </si>
  <si>
    <t xml:space="preserve">1. Upload each file as the driver's license.</t>
  </si>
  <si>
    <t xml:space="preserve">size_5.0MB.jpg (accept)
size_5.1MB.jpg (reject)
price_list.docx (reject)
renamed_exe.jpg (reject)</t>
  </si>
  <si>
    <t xml:space="preserve">Only the 5.0 MB JPG is accepted; the others are rejected and the previous document is kept.</t>
  </si>
  <si>
    <t xml:space="preserve">RID-PROF-006</t>
  </si>
  <si>
    <t xml:space="preserve">Suspended rider cannot work</t>
  </si>
  <si>
    <t xml:space="preserve">Logged in as Rider 3 (Suspended).</t>
  </si>
  <si>
    <t xml:space="preserve">1. Try to go Online.
2. Logistics 1 creates a job near Rider 3 and runs auto-assign.</t>
  </si>
  <si>
    <t xml:space="preserve">Rider 3 cannot go Online and sees a suspension message. Rider 3 receives no offer and is not selectable for manual assignment.</t>
  </si>
  <si>
    <t xml:space="preserve">RID-PROF-007</t>
  </si>
  <si>
    <t xml:space="preserve">Rider cannot see another rider's profile</t>
  </si>
  <si>
    <t xml:space="preserve">1. With a proxy tool on the phone, change the rider ID in the profile request to Rider 2's and resend it.</t>
  </si>
  <si>
    <t xml:space="preserve">Denied. No Rider 2 data is shown.</t>
  </si>
  <si>
    <t xml:space="preserve">RID-PROF-008</t>
  </si>
  <si>
    <t xml:space="preserve">[Mobile] Update documents with the camera and the Files app</t>
  </si>
  <si>
    <t xml:space="preserve">Logged in as Rider 1. or_cr.pdf is in the phone's Files.</t>
  </si>
  <si>
    <t xml:space="preserve">1. Replace the driver's license using Take Photo.
2. Replace the OR/CR from Files.
3. As Logistics 1, open Rider 1's record.</t>
  </si>
  <si>
    <t xml:space="preserve">or_cr.pdf</t>
  </si>
  <si>
    <t xml:space="preserve">Both are accepted with previews, and Logistics 1 sees the new documents flagged for re-verification, as in RID-PROF-002.</t>
  </si>
  <si>
    <t xml:space="preserve">A16, M6, M7</t>
  </si>
  <si>
    <t xml:space="preserve">RID-AVAIL-001</t>
  </si>
  <si>
    <t xml:space="preserve">Availability</t>
  </si>
  <si>
    <t xml:space="preserve">Go Online</t>
  </si>
  <si>
    <t xml:space="preserve">Logged in as Rider 1, Offline. Rider 2 is Offline.</t>
  </si>
  <si>
    <t xml:space="preserve">1. Toggle Online.
2. As Logistics 1, open the rider list.
3. Seller 1 has a COD order for P-02 to ADDR-1 (total ₱500.00) marked Ready for Pickup. Run auto-assign.</t>
  </si>
  <si>
    <t xml:space="preserve">Logistics 1 sees Rider 1 as Online within a few seconds. Rider 1 receives the offer.</t>
  </si>
  <si>
    <t xml:space="preserve">RID-AVAIL-002</t>
  </si>
  <si>
    <t xml:space="preserve">Go Offline</t>
  </si>
  <si>
    <t xml:space="preserve">Logged in as Rider 1 (Active, Online, 0 active jobs). Rider 2 is Online.</t>
  </si>
  <si>
    <t xml:space="preserve">1. Toggle Offline.
2. Logistics 1 runs auto-assign for a new job.
3. Logistics 1 opens Manual Assign.</t>
  </si>
  <si>
    <t xml:space="preserve">Rider 1 receives no offer, and is not listed in Manual Assign. The job goes to Rider 2.</t>
  </si>
  <si>
    <t xml:space="preserve">RID-AVAIL-003</t>
  </si>
  <si>
    <t xml:space="preserve">Go Offline with an active job</t>
  </si>
  <si>
    <t xml:space="preserve">Logged in as Rider 1 (Active, Online, 0 active jobs). Rider 1 has a Picked Up parcel.</t>
  </si>
  <si>
    <t xml:space="preserve">1. Toggle Offline.
2. Open My Jobs.</t>
  </si>
  <si>
    <t xml:space="preserve">Offline is allowed. The Picked Up job stays with Rider 1 and can still be delivered. No new offers arrive.</t>
  </si>
  <si>
    <t xml:space="preserve">RID-AVAIL-004</t>
  </si>
  <si>
    <t xml:space="preserve">Offline after logout or session timeout</t>
  </si>
  <si>
    <t xml:space="preserve">Low</t>
  </si>
  <si>
    <t xml:space="preserve">Logged in as Rider 1 (Active, Online, 0 active jobs).</t>
  </si>
  <si>
    <t xml:space="preserve">1. Log out.
2. As Logistics 1, check the rider list and run auto-assign.</t>
  </si>
  <si>
    <t xml:space="preserve">Rider 1 shows Offline and gets no offer.</t>
  </si>
  <si>
    <t xml:space="preserve">RID-AVAIL-005</t>
  </si>
  <si>
    <t xml:space="preserve">[Mobile] Location permission needed to go Online</t>
  </si>
  <si>
    <t xml:space="preserve">Logged in as Rider 1, Offline. Location access for the app is set to Don't Allow.</t>
  </si>
  <si>
    <t xml:space="preserve">1. Toggle Online.
2. Allow location 'While using the app' and toggle Online.
3. If the app asks for background ('All the time') location, allow it.
4. As Logistics 1, open the rider list.</t>
  </si>
  <si>
    <t xml:space="preserve">Step 1: Online is blocked with a message that location is needed and a link to Settings; no crash. Step 2: Rider 1 goes Online. Logistics 1 sees Rider 1 Online with a current location.</t>
  </si>
  <si>
    <t xml:space="preserve">M6, M13</t>
  </si>
  <si>
    <t xml:space="preserve">RID-AVAIL-006</t>
  </si>
  <si>
    <t xml:space="preserve">[Mobile] Location turned off while Online</t>
  </si>
  <si>
    <t xml:space="preserve">Logged in as Rider 1, Online, 0 active jobs.</t>
  </si>
  <si>
    <t xml:space="preserve">1. Turn off Location in the phone's quick settings.
2. Wait 1 minute. Logistics 1 runs auto-assign for a new job.
3. Turn Location back on.</t>
  </si>
  <si>
    <t xml:space="preserve">The app warns that location is off. Rider 1 gets no new offer while location is off. After turning it back on, the rider can receive offers again.</t>
  </si>
  <si>
    <t xml:space="preserve">RID-AVAIL-007</t>
  </si>
  <si>
    <t xml:space="preserve">[Mobile] App force-closed while Online</t>
  </si>
  <si>
    <t xml:space="preserve">Logged in as Rider 1, Online, with 1 accepted (Assigned) job.</t>
  </si>
  <si>
    <t xml:space="preserve">1. Swipe the app away from recent apps.
2. Wait 5 minutes. As Logistics 1, check the rider list and run auto-assign for a new job.
3. Reopen the rider app.</t>
  </si>
  <si>
    <t xml:space="preserve">Within 5 minutes Rider 1 shows Offline and gets no new offer. The Assigned job stays with Rider 1 and is shown again when the app is reopened.</t>
  </si>
  <si>
    <t xml:space="preserve">RID-JOB-001</t>
  </si>
  <si>
    <t xml:space="preserve">Job Assignment</t>
  </si>
  <si>
    <t xml:space="preserve">View and accept a job</t>
  </si>
  <si>
    <t xml:space="preserve">Logged in as Rider 1 (Active, Online, 0 active jobs). Seller 1 has a COD order for P-02 to ADDR-1 (total ₱500.00) marked Ready for Pickup. The job is offered to Rider 1.</t>
  </si>
  <si>
    <t xml:space="preserve">1. Open the offer.
2. Check the details.
3. Tap Accept.</t>
  </si>
  <si>
    <t xml:space="preserve">The offer shows pickup (Seller 1, Commonwealth, QC), drop-off area (Brgy. Central, QC), COD ₱500.00 and pay ₱30.00 pickup. After Accept, the job is Assigned to Rider 1 and Logistics 1 sees Rider 1 as the assignee.</t>
  </si>
  <si>
    <t xml:space="preserve">A10, A33</t>
  </si>
  <si>
    <t xml:space="preserve">RID-JOB-002</t>
  </si>
  <si>
    <t xml:space="preserve">Decline a job</t>
  </si>
  <si>
    <t xml:space="preserve">Logged in as Rider 1 (Active, Online, 0 active jobs). A job is offered; Rider 2 is Online.</t>
  </si>
  <si>
    <t xml:space="preserve">1. Tap Decline.</t>
  </si>
  <si>
    <t xml:space="preserve">The offer disappears for Rider 1 and is offered to Rider 2. Rider 1 is not assigned.</t>
  </si>
  <si>
    <t xml:space="preserve">RID-JOB-003</t>
  </si>
  <si>
    <t xml:space="preserve">Offer timeout</t>
  </si>
  <si>
    <t xml:space="preserve">1. On one offer, tap Accept at 55–59 seconds.
2. On another offer, wait 61 seconds and tap Accept.</t>
  </si>
  <si>
    <t xml:space="preserve">The first Accept succeeds. After 60 seconds the second offer is expired; Accept is disabled or rejected and the job goes to the next rider.</t>
  </si>
  <si>
    <t xml:space="preserve">RID-JOB-004</t>
  </si>
  <si>
    <t xml:space="preserve">Job goes to Unassigned after 3 declines</t>
  </si>
  <si>
    <t xml:space="preserve">Riders 1 and 2 and one more rider are Online.</t>
  </si>
  <si>
    <t xml:space="preserve">1. Each of the 3 riders declines the same job in turn.
2. As Logistics 1, open the Unassigned queue.</t>
  </si>
  <si>
    <t xml:space="preserve">After the 3rd decline the job is in the Unassigned queue and no longer offered automatically.</t>
  </si>
  <si>
    <t xml:space="preserve">RID-JOB-005</t>
  </si>
  <si>
    <t xml:space="preserve">Accept and manual assignment at the same moment</t>
  </si>
  <si>
    <t xml:space="preserve">Logged in as Rider 1 (Active, Online, 0 active jobs). A job is offered to Rider 1. Rider 2 is Online with 0 jobs.</t>
  </si>
  <si>
    <t xml:space="preserve">1. At the same moment, Rider 1 taps Accept and Logistics 1 manually assigns the job to Rider 2.
2. Check both riders' job lists and Logistics 1's view.</t>
  </si>
  <si>
    <t xml:space="preserve">Exactly one rider has the job, and Logistics 1 shows that same rider. The other side gets a clear 'already assigned' message. No duplicate job exists.</t>
  </si>
  <si>
    <t xml:space="preserve">RID-JOB-006</t>
  </si>
  <si>
    <t xml:space="preserve">Concurrent job limit</t>
  </si>
  <si>
    <t xml:space="preserve">Logged in as Rider 1 (Active, Online, 0 active jobs). Rider 1 has 2 active jobs.</t>
  </si>
  <si>
    <t xml:space="preserve">1. Accept a 3rd job.
2. Logistics 1 runs auto-assign and tries manual assign for a 4th job to Rider 1.</t>
  </si>
  <si>
    <t xml:space="preserve">The 3rd is accepted. Rider 1 gets no 4th offer, and manual assign of a 4th is blocked.</t>
  </si>
  <si>
    <t xml:space="preserve">RID-JOB-007</t>
  </si>
  <si>
    <t xml:space="preserve">Cannot accept another company's job</t>
  </si>
  <si>
    <t xml:space="preserve">1. Send an accept request with a job ID belonging to Logistics 2.</t>
  </si>
  <si>
    <t xml:space="preserve">Rejected (403 or not found). The job is unchanged.</t>
  </si>
  <si>
    <t xml:space="preserve">A22, M11</t>
  </si>
  <si>
    <t xml:space="preserve">RID-JOB-008</t>
  </si>
  <si>
    <t xml:space="preserve">[Mobile] Job offer while the phone is locked</t>
  </si>
  <si>
    <t xml:space="preserve">Logged in as Rider 1 (Active, Online, 0 active jobs). The app is in the background and the screen is locked.</t>
  </si>
  <si>
    <t xml:space="preserve">1. Seller 1 marks an order Ready for Pickup and Logistics 1 runs auto-assign.
2. Wait 20 seconds, then unlock and open the offer from the notification.
3. Tap Accept.</t>
  </si>
  <si>
    <t xml:space="preserve">A push notification with sound arrives while the phone is locked. The offer shows about 40 seconds left (counted from when it was sent, not restarted at 60). Accept works within the 60 seconds.</t>
  </si>
  <si>
    <t xml:space="preserve">A14, M10</t>
  </si>
  <si>
    <t xml:space="preserve">RID-JOB-009</t>
  </si>
  <si>
    <t xml:space="preserve">[Mobile] Navigate to the pickup address</t>
  </si>
  <si>
    <t xml:space="preserve">Logged in as Rider 1. A pickup job is Assigned to Rider 1.</t>
  </si>
  <si>
    <t xml:space="preserve">1. Tap Navigate (or the pickup address).
2. Choose Google Maps or Waze.
3. Switch back to the rider app.</t>
  </si>
  <si>
    <t xml:space="preserve">The map app opens with Seller 1's pickup location (Commonwealth, Quezon City). Switching back shows the same job.</t>
  </si>
  <si>
    <t xml:space="preserve">RID-PICK-001</t>
  </si>
  <si>
    <t xml:space="preserve">Pickup</t>
  </si>
  <si>
    <t xml:space="preserve">Pickup details shown</t>
  </si>
  <si>
    <t xml:space="preserve">Logged in as Rider 1 (Active, Online, 0 active jobs). The pickup job above is Assigned to Rider 1.</t>
  </si>
  <si>
    <t xml:space="preserve">1. Open the job.</t>
  </si>
  <si>
    <t xml:space="preserve">Shows Seller 1's name, pickup address, contact number, tracking number and 1 parcel.</t>
  </si>
  <si>
    <t xml:space="preserve">RID-PICK-002</t>
  </si>
  <si>
    <t xml:space="preserve">Confirm pickup by scanning</t>
  </si>
  <si>
    <t xml:space="preserve">1. At Seller 1, scan the waybill barcode.
2. Check the job, Seller 1's order and Buyer 1's order.</t>
  </si>
  <si>
    <t xml:space="preserve">Tracking number from the waybill</t>
  </si>
  <si>
    <t xml:space="preserve">Status is Picked Up with the scan time in all three views. Buyer 1's order moves to To Receive. Seller 1 can no longer cancel. Rider 1 earns ₱30.00.</t>
  </si>
  <si>
    <t xml:space="preserve">A6, A10, A33</t>
  </si>
  <si>
    <t xml:space="preserve">RID-PICK-003</t>
  </si>
  <si>
    <t xml:space="preserve">Confirm pickup by typing the tracking number</t>
  </si>
  <si>
    <t xml:space="preserve">1. Type the tracking number instead of scanning.</t>
  </si>
  <si>
    <t xml:space="preserve">Status becomes Picked Up exactly as with a scan.</t>
  </si>
  <si>
    <t xml:space="preserve">RID-PICK-004</t>
  </si>
  <si>
    <t xml:space="preserve">Wrong tracking number</t>
  </si>
  <si>
    <t xml:space="preserve">1. Scan or type another order's tracking number.
2. Type a random value.</t>
  </si>
  <si>
    <t xml:space="preserve">TRK-0000000</t>
  </si>
  <si>
    <t xml:space="preserve">Both are rejected with 'tracking number does not match this job'. Status stays Assigned.</t>
  </si>
  <si>
    <t xml:space="preserve">RID-PICK-005</t>
  </si>
  <si>
    <t xml:space="preserve">Double scan at pickup</t>
  </si>
  <si>
    <t xml:space="preserve">1. Scan the same waybill twice.</t>
  </si>
  <si>
    <t xml:space="preserve">One Picked Up event only; the second scan shows 'already picked up'. Pay counted once.</t>
  </si>
  <si>
    <t xml:space="preserve">RID-PICK-006</t>
  </si>
  <si>
    <t xml:space="preserve">[Mobile] Camera access denied for the waybill scan</t>
  </si>
  <si>
    <t xml:space="preserve">Logged in as Rider 1. A pickup job is Assigned. Camera access for the app is off.</t>
  </si>
  <si>
    <t xml:space="preserve">1. Tap Scan.
2. Type the tracking number.</t>
  </si>
  <si>
    <t xml:space="preserve">No crash. A message explains that camera access is needed and links to Settings. Typing the tracking number gives Picked Up, as in RID-PICK-003.</t>
  </si>
  <si>
    <t xml:space="preserve">M6, M14</t>
  </si>
  <si>
    <t xml:space="preserve">RID-PICK-007</t>
  </si>
  <si>
    <t xml:space="preserve">[Mobile] Pickup with no internet</t>
  </si>
  <si>
    <t xml:space="preserve">Logged in as Rider 1. A pickup job is Assigned.</t>
  </si>
  <si>
    <t xml:space="preserve">1. At Seller 1, turn on Airplane mode and scan the waybill.
2. Turn Airplane mode off.</t>
  </si>
  <si>
    <t xml:space="preserve">The scan is either blocked with a no-internet message, or saved as pending and sent once online with the original scan time. In the end there is one Picked Up event, and pickup pay is counted once.</t>
  </si>
  <si>
    <t xml:space="preserve">A37, M5</t>
  </si>
  <si>
    <t xml:space="preserve">RID-DLV-001</t>
  </si>
  <si>
    <t xml:space="preserve">Delivery &amp; Status Updates</t>
  </si>
  <si>
    <t xml:space="preserve">Deliver with proof in sequence</t>
  </si>
  <si>
    <t xml:space="preserve">Logged in as Rider 1 (Active, Online, 0 active jobs). The P-02 parcel is At Hub and assigned to Rider 1 for delivery.</t>
  </si>
  <si>
    <t xml:space="preserve">1. Mark Out for Delivery.
2. At ADDR-1, take the POD photo.
3. Ask Buyer 1 for the OTP and enter it.
4. Enter COD ₱500.00 and mark Delivered.
5. Check Buyer 1's, Seller 1's and Logistics 1's views.</t>
  </si>
  <si>
    <t xml:space="preserve">Photo: pod_photo.jpg
OTP: from Buyer 1's order screen
COD: ₱500.00</t>
  </si>
  <si>
    <t xml:space="preserve">Each status is shown in all views with times. After Delivered: Buyer 1 sees Delivered with the photo, Rider 1's COD balance rises by ₱500.00 and pay by ₱50.00.</t>
  </si>
  <si>
    <t xml:space="preserve">A10, A32, A33</t>
  </si>
  <si>
    <t xml:space="preserve">RID-DLV-002</t>
  </si>
  <si>
    <t xml:space="preserve">Skipping a status</t>
  </si>
  <si>
    <t xml:space="preserve">Logged in as Rider 1 (Active, Online, 0 active jobs). A delivery job is Assigned, not yet Out for Delivery.</t>
  </si>
  <si>
    <t xml:space="preserve">1. Look for Delivered.
2. Send the Delivered request directly if possible.</t>
  </si>
  <si>
    <t xml:space="preserve">Delivered is not available and a direct request is rejected. Status unchanged.</t>
  </si>
  <si>
    <t xml:space="preserve">A10, M11</t>
  </si>
  <si>
    <t xml:space="preserve">RID-DLV-003</t>
  </si>
  <si>
    <t xml:space="preserve">Photo is required</t>
  </si>
  <si>
    <t xml:space="preserve">Logged in as Rider 1 (Active, Online, 0 active jobs). A job is Out for Delivery.</t>
  </si>
  <si>
    <t xml:space="preserve">1. Enter the OTP and COD without a photo and tap Delivered.
2. Attach a 5.1 MB photo.</t>
  </si>
  <si>
    <t xml:space="preserve">Both are blocked with a message. The status stays Out for Delivery.</t>
  </si>
  <si>
    <t xml:space="preserve">A16, A32</t>
  </si>
  <si>
    <t xml:space="preserve">RID-DLV-004</t>
  </si>
  <si>
    <t xml:space="preserve">OTP checks</t>
  </si>
  <si>
    <t xml:space="preserve">1. Enter 12345 (5 digits).
2. Enter a wrong 6-digit OTP 5 times.
3. Enter the correct OTP immediately after.
4. Enter it again after 15 minutes.</t>
  </si>
  <si>
    <t xml:space="preserve">5 digits is rejected. Each wrong OTP is rejected. After the 5th wrong entry, entry is locked for 15 minutes (the correct OTP is also refused). After 15 minutes the correct OTP works.</t>
  </si>
  <si>
    <t xml:space="preserve">RID-DLV-005</t>
  </si>
  <si>
    <t xml:space="preserve">COD amount must match</t>
  </si>
  <si>
    <t xml:space="preserve">Logged in as Rider 1 (Active, Online, 0 active jobs). COD job for ₱500.00.</t>
  </si>
  <si>
    <t xml:space="preserve">1. Enter ₱499.99 and submit.
2. Enter ₱500.01 and submit.
3. Enter ₱500.00 and submit.</t>
  </si>
  <si>
    <t xml:space="preserve">₱499.99 and ₱500.01 are rejected with a mismatch message. Only ₱500.00 completes delivery.</t>
  </si>
  <si>
    <t xml:space="preserve">RID-DLV-006</t>
  </si>
  <si>
    <t xml:space="preserve">Prepaid order has no COD</t>
  </si>
  <si>
    <t xml:space="preserve">Logged in as Rider 1 (Active, Online, 0 active jobs). Prepaid job.</t>
  </si>
  <si>
    <t xml:space="preserve">1. Open the job and complete delivery.</t>
  </si>
  <si>
    <t xml:space="preserve">COD shows ₱0.00 / Paid; no amount is asked for, and the COD balance does not change.</t>
  </si>
  <si>
    <t xml:space="preserve">RID-DLV-007</t>
  </si>
  <si>
    <t xml:space="preserve">Cannot update another rider's job</t>
  </si>
  <si>
    <t xml:space="preserve">1. Send a status update for a job assigned to Rider 2.</t>
  </si>
  <si>
    <t xml:space="preserve">Rejected. Rider 2's job is unchanged.</t>
  </si>
  <si>
    <t xml:space="preserve">RID-DLV-008</t>
  </si>
  <si>
    <t xml:space="preserve">[Mobile] Proof-of-delivery photo must be taken live</t>
  </si>
  <si>
    <t xml:space="preserve">Logged in as Rider 1. A job is Out for Delivery. pod_photo.jpg is in the phone's Photos.</t>
  </si>
  <si>
    <t xml:space="preserve">1. Try to attach pod_photo.jpg from the gallery.
2. Take the photo with the in-app camera and complete the delivery.</t>
  </si>
  <si>
    <t xml:space="preserve">The gallery is not offered, or the gallery photo is refused. The live photo is accepted and Buyer 1 sees it with the delivery time.</t>
  </si>
  <si>
    <t xml:space="preserve">A32, M14</t>
  </si>
  <si>
    <t xml:space="preserve">RID-DLV-009</t>
  </si>
  <si>
    <t xml:space="preserve">[Mobile] Mark Delivered with no internet</t>
  </si>
  <si>
    <t xml:space="preserve">Logged in as Rider 1. A COD job for ₱500.00 is Out for Delivery and Buyer 1's OTP is known.</t>
  </si>
  <si>
    <t xml:space="preserve">1. Turn on Airplane mode. Take the POD photo, enter the OTP and ₱500.00, and tap Delivered.
2. Close and reopen the app.
3. Turn Airplane mode off and wait (or tap Retry).</t>
  </si>
  <si>
    <t xml:space="preserve">COD: ₱500.00
OTP: from Buyer 1's order screen</t>
  </si>
  <si>
    <t xml:space="preserve">Step 1: the app clearly shows the delivery is not yet sent (or blocks it with a message) and keeps the photo, OTP and amount. Step 3: Delivered is recorded once with the photo; the COD balance rises by ₱500.00 and pay by ₱50.00 once. Nothing is lost when the app is reopened.</t>
  </si>
  <si>
    <t xml:space="preserve">RID-DLV-010</t>
  </si>
  <si>
    <t xml:space="preserve">[Mobile] Call or message the buyer from the job</t>
  </si>
  <si>
    <t xml:space="preserve">Logged in as Rider 1. A job is Out for Delivery to Buyer 1.</t>
  </si>
  <si>
    <t xml:space="preserve">1. Tap Call on the job.
2. Go back and tap Message (SMS or chat).</t>
  </si>
  <si>
    <t xml:space="preserve">The phone dialer opens with Buyer 1's number (or a masked relay number). Messaging opens a conversation with Buyer 1. No other buyer's number is shown.</t>
  </si>
  <si>
    <t xml:space="preserve">RID-DLV-011</t>
  </si>
  <si>
    <t xml:space="preserve">[Mobile] Delivery location is recorded</t>
  </si>
  <si>
    <t xml:space="preserve">Logged in as Rider 1 with location allowed. A job to ADDR-1 is Out for Delivery.</t>
  </si>
  <si>
    <t xml:space="preserve">1. Complete the delivery at ADDR-1.
2. As Logistics 1, open the delivery record.</t>
  </si>
  <si>
    <t xml:space="preserve">The record shows the GPS location and time of the delivery, close to ADDR-1.</t>
  </si>
  <si>
    <t xml:space="preserve">RID-FAIL-001</t>
  </si>
  <si>
    <t xml:space="preserve">Failed Delivery</t>
  </si>
  <si>
    <t xml:space="preserve">Mark failed with a reason</t>
  </si>
  <si>
    <t xml:space="preserve">Logged in as Rider 1 (Active, Online, 0 active jobs). A COD job is Out for Delivery.</t>
  </si>
  <si>
    <t xml:space="preserve">1. Mark Failed and choose 'Buyer not home'.
2. Check Buyer 1's and Logistics 1's views.</t>
  </si>
  <si>
    <t xml:space="preserve">Status Failed Delivery, attempt 1 of 3, with the reason. Buyer 1 and Logistics 1 are notified. No COD is collected and pay is ₱0.00 for the attempt.</t>
  </si>
  <si>
    <t xml:space="preserve">A13, A23, A33</t>
  </si>
  <si>
    <t xml:space="preserve">RID-FAIL-002</t>
  </si>
  <si>
    <t xml:space="preserve">Reason required</t>
  </si>
  <si>
    <t xml:space="preserve">1. Mark Failed without choosing a reason.</t>
  </si>
  <si>
    <t xml:space="preserve">Blocked; status unchanged.</t>
  </si>
  <si>
    <t xml:space="preserve">RID-FAIL-003</t>
  </si>
  <si>
    <t xml:space="preserve">Refused goes straight to Return to Sender</t>
  </si>
  <si>
    <t xml:space="preserve">Logged in as Rider 1 (Active, Online, 0 active jobs). Attempt 1.</t>
  </si>
  <si>
    <t xml:space="preserve">1. Mark Failed with 'Refused'.</t>
  </si>
  <si>
    <t xml:space="preserve">Status Return to Sender immediately; no further attempt is scheduled.</t>
  </si>
  <si>
    <t xml:space="preserve">RID-FAIL-004</t>
  </si>
  <si>
    <t xml:space="preserve">Attempt counter and reschedule</t>
  </si>
  <si>
    <t xml:space="preserve">Attempt 1 failed (Buyer not home).</t>
  </si>
  <si>
    <t xml:space="preserve">1. Logistics 1 reschedules; Rider 1 goes Out for Delivery again and delivers.</t>
  </si>
  <si>
    <t xml:space="preserve">The job shows attempt 2 of 3 and completes normally on success.</t>
  </si>
  <si>
    <t xml:space="preserve">RID-FAIL-005</t>
  </si>
  <si>
    <t xml:space="preserve">Return to Sender after the 3rd failed attempt</t>
  </si>
  <si>
    <t xml:space="preserve">Attempts 1 and 2 failed (Buyer not home).</t>
  </si>
  <si>
    <t xml:space="preserve">1. Fail attempt 3 with 'Wrong address'.</t>
  </si>
  <si>
    <t xml:space="preserve">Status Return to Sender. No 4th attempt is possible. Buyer 1 and Seller 1 are notified.</t>
  </si>
  <si>
    <t xml:space="preserve">RID-EARN-001</t>
  </si>
  <si>
    <t xml:space="preserve">History, Earnings &amp; COD Remittance</t>
  </si>
  <si>
    <t xml:space="preserve">Delivery history</t>
  </si>
  <si>
    <t xml:space="preserve">Logged in as Rider 1 (Active, Online, 0 active jobs). Rider 1 has completed and failed jobs.</t>
  </si>
  <si>
    <t xml:space="preserve">1. Open History and filter by date.</t>
  </si>
  <si>
    <t xml:space="preserve">Every job is listed once with date, tracking number, result and pay.</t>
  </si>
  <si>
    <t xml:space="preserve">RID-EARN-002</t>
  </si>
  <si>
    <t xml:space="preserve">Pay per job and daily total</t>
  </si>
  <si>
    <t xml:space="preserve">Logged in as Rider 1 (Active, Online, 0 active jobs). Today: 2 pickups, 3 successful deliveries, 1 failed attempt.</t>
  </si>
  <si>
    <t xml:space="preserve">1. Open Earnings for today and this week.</t>
  </si>
  <si>
    <t xml:space="preserve">Today's total is exactly ₱210.00 (2 × ₱30 + 3 × ₱50 + 1 × ₱0). The weekly total includes it.</t>
  </si>
  <si>
    <t xml:space="preserve">RID-EARN-003</t>
  </si>
  <si>
    <t xml:space="preserve">COD balance to remit</t>
  </si>
  <si>
    <t xml:space="preserve">Logged in as Rider 1 (Active, Online, 0 active jobs). Collected ₱500.00 (P-02 order) and ₱1,300.00 (P-03 ₱1,250 + ₱50 shipping) today.</t>
  </si>
  <si>
    <t xml:space="preserve">1. Open COD balance.</t>
  </si>
  <si>
    <t xml:space="preserve">Balance shows ₱1,800.00 with both orders listed.</t>
  </si>
  <si>
    <t xml:space="preserve">RID-EARN-004</t>
  </si>
  <si>
    <t xml:space="preserve">Remit COD and confirmation</t>
  </si>
  <si>
    <t xml:space="preserve">1. Submit a remittance of ₱1,800.00.
2. Check the balance before and after Logistics 1 confirms.</t>
  </si>
  <si>
    <t xml:space="preserve">Before confirmation the remittance is Pending and the balance still shows ₱1,800.00 pending. After confirmation the balance is ₱0.00.</t>
  </si>
  <si>
    <t xml:space="preserve">RID-EARN-005</t>
  </si>
  <si>
    <t xml:space="preserve">Short remittance</t>
  </si>
  <si>
    <t xml:space="preserve">1. Submit ₱1,750.00.</t>
  </si>
  <si>
    <t xml:space="preserve">Logistics 1 sees a ₱50.00 shortfall flag; Rider 1's balance shows ₱50.00 outstanding after confirmation.</t>
  </si>
  <si>
    <t xml:space="preserve">RID-EARN-006</t>
  </si>
  <si>
    <t xml:space="preserve">Rider cannot confirm own remittance</t>
  </si>
  <si>
    <t xml:space="preserve">1. Try the Logistics confirm request directly.</t>
  </si>
  <si>
    <t xml:space="preserve">Rejected (403).</t>
  </si>
  <si>
    <t xml:space="preserve">A22, A24, M11</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</si>
</sst>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7"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6" min="3" style="0" width="10"/>
    <col collapsed="false" customWidth="true" hidden="false" outlineLevel="0" max="7" min="7"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row>
    <row r="6" customFormat="false" ht="15" hidden="false" customHeight="false" outlineLevel="0" collapsed="false">
      <c r="A6" s="4" t="s">
        <v>4</v>
      </c>
      <c r="B6" s="5"/>
    </row>
    <row r="7" customFormat="false" ht="23.85" hidden="false" customHeight="false" outlineLevel="0" collapsed="false">
      <c r="A7" s="4" t="s">
        <v>5</v>
      </c>
      <c r="B7" s="5"/>
    </row>
    <row r="8" customFormat="false" ht="15" hidden="false" customHeight="false" outlineLevel="0" collapsed="false">
      <c r="A8" s="4" t="s">
        <v>6</v>
      </c>
      <c r="B8" s="5"/>
    </row>
    <row r="9" customFormat="false" ht="15" hidden="false" customHeight="false" outlineLevel="0" collapsed="false">
      <c r="A9" s="4" t="s">
        <v>7</v>
      </c>
      <c r="B9" s="5"/>
    </row>
    <row r="11" customFormat="false" ht="15" hidden="false" customHeight="false" outlineLevel="0" collapsed="false">
      <c r="A11" s="3" t="s">
        <v>8</v>
      </c>
    </row>
    <row r="12" customFormat="false" ht="15" hidden="false" customHeight="false" outlineLevel="0" collapsed="false">
      <c r="A12" s="6" t="s">
        <v>9</v>
      </c>
      <c r="B12" s="6" t="s">
        <v>10</v>
      </c>
      <c r="C12" s="6" t="s">
        <v>11</v>
      </c>
      <c r="D12" s="6" t="s">
        <v>12</v>
      </c>
      <c r="E12" s="6" t="s">
        <v>13</v>
      </c>
      <c r="F12" s="6" t="s">
        <v>14</v>
      </c>
      <c r="G12" s="6" t="s">
        <v>15</v>
      </c>
    </row>
    <row r="13" customFormat="false" ht="15" hidden="false" customHeight="false" outlineLevel="0" collapsed="false">
      <c r="A13" s="7" t="s">
        <v>16</v>
      </c>
      <c r="B13" s="8" t="n">
        <f aca="false">COUNTA('R1 Profile &amp; Vehicle'!$A$2:$A$200)</f>
        <v>8</v>
      </c>
      <c r="C13" s="8" t="n">
        <f aca="false">COUNTIF('R1 Profile &amp; Vehicle'!$L$2:$L$200,"Pass")</f>
        <v>0</v>
      </c>
      <c r="D13" s="8" t="n">
        <f aca="false">COUNTIF('R1 Profile &amp; Vehicle'!$L$2:$L$200,"Fail")</f>
        <v>0</v>
      </c>
      <c r="E13" s="8" t="n">
        <f aca="false">COUNTIF('R1 Profile &amp; Vehicle'!$L$2:$L$200,"Blocked")</f>
        <v>0</v>
      </c>
      <c r="F13" s="8" t="n">
        <f aca="false">COUNTIF('R1 Profile &amp; Vehicle'!$L$2:$L$200,"Not Run")</f>
        <v>8</v>
      </c>
      <c r="G13" s="9" t="n">
        <f aca="false">IF(B13=0,0,C13/B13)</f>
        <v>0</v>
      </c>
    </row>
    <row r="14" customFormat="false" ht="15" hidden="false" customHeight="false" outlineLevel="0" collapsed="false">
      <c r="A14" s="7" t="s">
        <v>17</v>
      </c>
      <c r="B14" s="8" t="n">
        <f aca="false">COUNTA('R2 Availability'!$A$2:$A$200)</f>
        <v>7</v>
      </c>
      <c r="C14" s="8" t="n">
        <f aca="false">COUNTIF('R2 Availability'!$L$2:$L$200,"Pass")</f>
        <v>0</v>
      </c>
      <c r="D14" s="8" t="n">
        <f aca="false">COUNTIF('R2 Availability'!$L$2:$L$200,"Fail")</f>
        <v>0</v>
      </c>
      <c r="E14" s="8" t="n">
        <f aca="false">COUNTIF('R2 Availability'!$L$2:$L$200,"Blocked")</f>
        <v>0</v>
      </c>
      <c r="F14" s="8" t="n">
        <f aca="false">COUNTIF('R2 Availability'!$L$2:$L$200,"Not Run")</f>
        <v>7</v>
      </c>
      <c r="G14" s="9" t="n">
        <f aca="false">IF(B14=0,0,C14/B14)</f>
        <v>0</v>
      </c>
    </row>
    <row r="15" customFormat="false" ht="15" hidden="false" customHeight="false" outlineLevel="0" collapsed="false">
      <c r="A15" s="7" t="s">
        <v>18</v>
      </c>
      <c r="B15" s="8" t="n">
        <f aca="false">COUNTA('R3 Job Assignment'!$A$2:$A$200)</f>
        <v>9</v>
      </c>
      <c r="C15" s="8" t="n">
        <f aca="false">COUNTIF('R3 Job Assignment'!$L$2:$L$200,"Pass")</f>
        <v>0</v>
      </c>
      <c r="D15" s="8" t="n">
        <f aca="false">COUNTIF('R3 Job Assignment'!$L$2:$L$200,"Fail")</f>
        <v>0</v>
      </c>
      <c r="E15" s="8" t="n">
        <f aca="false">COUNTIF('R3 Job Assignment'!$L$2:$L$200,"Blocked")</f>
        <v>0</v>
      </c>
      <c r="F15" s="8" t="n">
        <f aca="false">COUNTIF('R3 Job Assignment'!$L$2:$L$200,"Not Run")</f>
        <v>9</v>
      </c>
      <c r="G15" s="9" t="n">
        <f aca="false">IF(B15=0,0,C15/B15)</f>
        <v>0</v>
      </c>
    </row>
    <row r="16" customFormat="false" ht="15" hidden="false" customHeight="false" outlineLevel="0" collapsed="false">
      <c r="A16" s="7" t="s">
        <v>19</v>
      </c>
      <c r="B16" s="8" t="n">
        <f aca="false">COUNTA('R4 Pickup'!$A$2:$A$200)</f>
        <v>7</v>
      </c>
      <c r="C16" s="8" t="n">
        <f aca="false">COUNTIF('R4 Pickup'!$L$2:$L$200,"Pass")</f>
        <v>0</v>
      </c>
      <c r="D16" s="8" t="n">
        <f aca="false">COUNTIF('R4 Pickup'!$L$2:$L$200,"Fail")</f>
        <v>0</v>
      </c>
      <c r="E16" s="8" t="n">
        <f aca="false">COUNTIF('R4 Pickup'!$L$2:$L$200,"Blocked")</f>
        <v>0</v>
      </c>
      <c r="F16" s="8" t="n">
        <f aca="false">COUNTIF('R4 Pickup'!$L$2:$L$200,"Not Run")</f>
        <v>7</v>
      </c>
      <c r="G16" s="9" t="n">
        <f aca="false">IF(B16=0,0,C16/B16)</f>
        <v>0</v>
      </c>
    </row>
    <row r="17" customFormat="false" ht="15" hidden="false" customHeight="false" outlineLevel="0" collapsed="false">
      <c r="A17" s="7" t="s">
        <v>20</v>
      </c>
      <c r="B17" s="8" t="n">
        <f aca="false">COUNTA('R5 Delivery'!$A$2:$A$200)</f>
        <v>11</v>
      </c>
      <c r="C17" s="8" t="n">
        <f aca="false">COUNTIF('R5 Delivery'!$L$2:$L$200,"Pass")</f>
        <v>0</v>
      </c>
      <c r="D17" s="8" t="n">
        <f aca="false">COUNTIF('R5 Delivery'!$L$2:$L$200,"Fail")</f>
        <v>0</v>
      </c>
      <c r="E17" s="8" t="n">
        <f aca="false">COUNTIF('R5 Delivery'!$L$2:$L$200,"Blocked")</f>
        <v>0</v>
      </c>
      <c r="F17" s="8" t="n">
        <f aca="false">COUNTIF('R5 Delivery'!$L$2:$L$200,"Not Run")</f>
        <v>11</v>
      </c>
      <c r="G17" s="9" t="n">
        <f aca="false">IF(B17=0,0,C17/B17)</f>
        <v>0</v>
      </c>
    </row>
    <row r="18" customFormat="false" ht="15" hidden="false" customHeight="false" outlineLevel="0" collapsed="false">
      <c r="A18" s="7" t="s">
        <v>21</v>
      </c>
      <c r="B18" s="8" t="n">
        <f aca="false">COUNTA('R6 Failed Delivery'!$A$2:$A$200)</f>
        <v>5</v>
      </c>
      <c r="C18" s="8" t="n">
        <f aca="false">COUNTIF('R6 Failed Delivery'!$L$2:$L$200,"Pass")</f>
        <v>0</v>
      </c>
      <c r="D18" s="8" t="n">
        <f aca="false">COUNTIF('R6 Failed Delivery'!$L$2:$L$200,"Fail")</f>
        <v>0</v>
      </c>
      <c r="E18" s="8" t="n">
        <f aca="false">COUNTIF('R6 Failed Delivery'!$L$2:$L$200,"Blocked")</f>
        <v>0</v>
      </c>
      <c r="F18" s="8" t="n">
        <f aca="false">COUNTIF('R6 Failed Delivery'!$L$2:$L$200,"Not Run")</f>
        <v>5</v>
      </c>
      <c r="G18" s="9" t="n">
        <f aca="false">IF(B18=0,0,C18/B18)</f>
        <v>0</v>
      </c>
    </row>
    <row r="19" customFormat="false" ht="15" hidden="false" customHeight="false" outlineLevel="0" collapsed="false">
      <c r="A19" s="7" t="s">
        <v>22</v>
      </c>
      <c r="B19" s="8" t="n">
        <f aca="false">COUNTA('R7 Earnings &amp; COD'!$A$2:$A$200)</f>
        <v>6</v>
      </c>
      <c r="C19" s="8" t="n">
        <f aca="false">COUNTIF('R7 Earnings &amp; COD'!$L$2:$L$200,"Pass")</f>
        <v>0</v>
      </c>
      <c r="D19" s="8" t="n">
        <f aca="false">COUNTIF('R7 Earnings &amp; COD'!$L$2:$L$200,"Fail")</f>
        <v>0</v>
      </c>
      <c r="E19" s="8" t="n">
        <f aca="false">COUNTIF('R7 Earnings &amp; COD'!$L$2:$L$200,"Blocked")</f>
        <v>0</v>
      </c>
      <c r="F19" s="8" t="n">
        <f aca="false">COUNTIF('R7 Earnings &amp; COD'!$L$2:$L$200,"Not Run")</f>
        <v>6</v>
      </c>
      <c r="G19" s="9" t="n">
        <f aca="false">IF(B19=0,0,C19/B19)</f>
        <v>0</v>
      </c>
    </row>
    <row r="20" customFormat="false" ht="15" hidden="false" customHeight="false" outlineLevel="0" collapsed="false">
      <c r="A20" s="4" t="s">
        <v>23</v>
      </c>
      <c r="B20" s="4" t="n">
        <f aca="false">SUM(B13:B19)</f>
        <v>53</v>
      </c>
      <c r="C20" s="4" t="n">
        <f aca="false">SUM(C13:C19)</f>
        <v>0</v>
      </c>
      <c r="D20" s="4" t="n">
        <f aca="false">SUM(D13:D19)</f>
        <v>0</v>
      </c>
      <c r="E20" s="4" t="n">
        <f aca="false">SUM(E13:E19)</f>
        <v>0</v>
      </c>
      <c r="F20" s="4" t="n">
        <f aca="false">SUM(F13:F19)</f>
        <v>53</v>
      </c>
      <c r="G20" s="10" t="n">
        <f aca="false">IF(B20=0,0,C20/B20)</f>
        <v>0</v>
      </c>
    </row>
    <row r="22" customFormat="false" ht="15" hidden="false" customHeight="false" outlineLevel="0" collapsed="false">
      <c r="A22" s="3" t="s">
        <v>24</v>
      </c>
    </row>
    <row r="23" customFormat="false" ht="16.5" hidden="false" customHeight="true" outlineLevel="0" collapsed="false">
      <c r="A23" s="11" t="s">
        <v>25</v>
      </c>
      <c r="B23" s="11"/>
      <c r="C23" s="11"/>
      <c r="D23" s="11"/>
      <c r="E23" s="11"/>
      <c r="F23" s="11"/>
      <c r="G23" s="11"/>
    </row>
    <row r="24" customFormat="false" ht="29.25" hidden="false" customHeight="true" outlineLevel="0" collapsed="false">
      <c r="A24" s="11" t="s">
        <v>26</v>
      </c>
      <c r="B24" s="11"/>
      <c r="C24" s="11"/>
      <c r="D24" s="11"/>
      <c r="E24" s="11"/>
      <c r="F24" s="11"/>
      <c r="G24" s="11"/>
    </row>
    <row r="25" customFormat="false" ht="29.25" hidden="false" customHeight="true" outlineLevel="0" collapsed="false">
      <c r="A25" s="11" t="s">
        <v>27</v>
      </c>
      <c r="B25" s="11"/>
      <c r="C25" s="11"/>
      <c r="D25" s="11"/>
      <c r="E25" s="11"/>
      <c r="F25" s="11"/>
      <c r="G25" s="11"/>
    </row>
    <row r="26" customFormat="false" ht="29.25" hidden="false" customHeight="true" outlineLevel="0" collapsed="false">
      <c r="A26" s="11" t="s">
        <v>28</v>
      </c>
      <c r="B26" s="11"/>
      <c r="C26" s="11"/>
      <c r="D26" s="11"/>
      <c r="E26" s="11"/>
      <c r="F26" s="11"/>
      <c r="G26" s="11"/>
    </row>
    <row r="27" customFormat="false" ht="29.25" hidden="false" customHeight="true" outlineLevel="0" collapsed="false">
      <c r="A27" s="11" t="s">
        <v>29</v>
      </c>
      <c r="B27" s="11"/>
      <c r="C27" s="11"/>
      <c r="D27" s="11"/>
      <c r="E27" s="11"/>
      <c r="F27" s="11"/>
      <c r="G27" s="11"/>
    </row>
    <row r="28" customFormat="false" ht="29.25" hidden="false" customHeight="true" outlineLevel="0" collapsed="false">
      <c r="A28" s="11" t="s">
        <v>30</v>
      </c>
      <c r="B28" s="11"/>
      <c r="C28" s="11"/>
      <c r="D28" s="11"/>
      <c r="E28" s="11"/>
      <c r="F28" s="11"/>
      <c r="G28" s="11"/>
    </row>
    <row r="29" customFormat="false" ht="29.25" hidden="false" customHeight="true" outlineLevel="0" collapsed="false">
      <c r="A29" s="11" t="s">
        <v>31</v>
      </c>
      <c r="B29" s="11"/>
      <c r="C29" s="11"/>
      <c r="D29" s="11"/>
      <c r="E29" s="11"/>
      <c r="F29" s="11"/>
      <c r="G29" s="11"/>
    </row>
    <row r="30" customFormat="false" ht="16.5" hidden="false" customHeight="true" outlineLevel="0" collapsed="false">
      <c r="A30" s="11" t="s">
        <v>32</v>
      </c>
      <c r="B30" s="11"/>
      <c r="C30" s="11"/>
      <c r="D30" s="11"/>
      <c r="E30" s="11"/>
      <c r="F30" s="11"/>
      <c r="G30" s="11"/>
    </row>
    <row r="31" customFormat="false" ht="16.5" hidden="false" customHeight="true" outlineLevel="0" collapsed="false">
      <c r="A31" s="11" t="s">
        <v>33</v>
      </c>
      <c r="B31" s="11"/>
      <c r="C31" s="11"/>
      <c r="D31" s="11"/>
      <c r="E31" s="11"/>
      <c r="F31" s="11"/>
      <c r="G31" s="11"/>
    </row>
    <row r="32" customFormat="false" ht="29.25" hidden="false" customHeight="true" outlineLevel="0" collapsed="false">
      <c r="A32" s="11" t="s">
        <v>34</v>
      </c>
      <c r="B32" s="11"/>
      <c r="C32" s="11"/>
      <c r="D32" s="11"/>
      <c r="E32" s="11"/>
      <c r="F32" s="11"/>
      <c r="G32" s="11"/>
    </row>
    <row r="33" customFormat="false" ht="16.5" hidden="false" customHeight="true" outlineLevel="0" collapsed="false">
      <c r="A33" s="11" t="s">
        <v>35</v>
      </c>
      <c r="B33" s="11"/>
      <c r="C33" s="11"/>
      <c r="D33" s="11"/>
      <c r="E33" s="11"/>
      <c r="F33" s="11"/>
      <c r="G33" s="11"/>
    </row>
    <row r="35" customFormat="false" ht="15" hidden="false" customHeight="false" outlineLevel="0" collapsed="false">
      <c r="A35" s="3" t="s">
        <v>36</v>
      </c>
    </row>
    <row r="36" customFormat="false" ht="15" hidden="false" customHeight="true" outlineLevel="0" collapsed="false">
      <c r="A36" s="4" t="s">
        <v>37</v>
      </c>
      <c r="B36" s="12" t="s">
        <v>38</v>
      </c>
      <c r="C36" s="12"/>
      <c r="D36" s="12"/>
      <c r="E36" s="12"/>
      <c r="F36" s="12"/>
      <c r="G36" s="12"/>
    </row>
    <row r="37" customFormat="false" ht="15" hidden="false" customHeight="true" outlineLevel="0" collapsed="false">
      <c r="A37" s="4" t="s">
        <v>39</v>
      </c>
      <c r="B37" s="12" t="s">
        <v>40</v>
      </c>
      <c r="C37" s="12"/>
      <c r="D37" s="12"/>
      <c r="E37" s="12"/>
      <c r="F37" s="12"/>
      <c r="G37" s="12"/>
    </row>
    <row r="38" customFormat="false" ht="15" hidden="false" customHeight="true" outlineLevel="0" collapsed="false">
      <c r="A38" s="4" t="s">
        <v>41</v>
      </c>
      <c r="B38" s="12" t="s">
        <v>42</v>
      </c>
      <c r="C38" s="12"/>
      <c r="D38" s="12"/>
      <c r="E38" s="12"/>
      <c r="F38" s="12"/>
      <c r="G38" s="12"/>
    </row>
    <row r="39" customFormat="false" ht="15" hidden="false" customHeight="true" outlineLevel="0" collapsed="false">
      <c r="A39" s="4" t="s">
        <v>43</v>
      </c>
      <c r="B39" s="12" t="s">
        <v>44</v>
      </c>
      <c r="C39" s="12"/>
      <c r="D39" s="12"/>
      <c r="E39" s="12"/>
      <c r="F39" s="12"/>
      <c r="G39" s="12"/>
    </row>
    <row r="40" customFormat="false" ht="15" hidden="false" customHeight="true" outlineLevel="0" collapsed="false">
      <c r="A40" s="4" t="s">
        <v>45</v>
      </c>
      <c r="B40" s="12" t="s">
        <v>46</v>
      </c>
      <c r="C40" s="12"/>
      <c r="D40" s="12"/>
      <c r="E40" s="12"/>
      <c r="F40" s="12"/>
      <c r="G40" s="12"/>
    </row>
    <row r="41" customFormat="false" ht="23.85" hidden="false" customHeight="true" outlineLevel="0" collapsed="false">
      <c r="A41" s="4" t="s">
        <v>47</v>
      </c>
      <c r="B41" s="12" t="s">
        <v>48</v>
      </c>
      <c r="C41" s="12"/>
      <c r="D41" s="12"/>
      <c r="E41" s="12"/>
      <c r="F41" s="12"/>
      <c r="G41" s="12"/>
    </row>
    <row r="43" customFormat="false" ht="15" hidden="false" customHeight="false" outlineLevel="0" collapsed="false">
      <c r="A43" s="3" t="s">
        <v>49</v>
      </c>
    </row>
    <row r="44" customFormat="false" ht="30" hidden="false" customHeight="true" outlineLevel="0" collapsed="false">
      <c r="A44" s="11" t="s">
        <v>50</v>
      </c>
      <c r="B44" s="11"/>
      <c r="C44" s="11"/>
      <c r="D44" s="11"/>
      <c r="E44" s="11"/>
      <c r="F44" s="11"/>
      <c r="G44" s="11"/>
    </row>
    <row r="45" customFormat="false" ht="30" hidden="false" customHeight="true" outlineLevel="0" collapsed="false">
      <c r="A45" s="11" t="s">
        <v>51</v>
      </c>
      <c r="B45" s="11"/>
      <c r="C45" s="11"/>
      <c r="D45" s="11"/>
      <c r="E45" s="11"/>
      <c r="F45" s="11"/>
      <c r="G45" s="11"/>
    </row>
    <row r="46" customFormat="false" ht="42.75" hidden="false" customHeight="true" outlineLevel="0" collapsed="false">
      <c r="A46" s="11" t="s">
        <v>52</v>
      </c>
      <c r="B46" s="11"/>
      <c r="C46" s="11"/>
      <c r="D46" s="11"/>
      <c r="E46" s="11"/>
      <c r="F46" s="11"/>
      <c r="G46" s="11"/>
    </row>
    <row r="47" customFormat="false" ht="42.75" hidden="false" customHeight="true" outlineLevel="0" collapsed="false">
      <c r="A47" s="11" t="s">
        <v>53</v>
      </c>
      <c r="B47" s="11"/>
      <c r="C47" s="11"/>
      <c r="D47" s="11"/>
      <c r="E47" s="11"/>
      <c r="F47" s="11"/>
      <c r="G47" s="11"/>
    </row>
    <row r="48" customFormat="false" ht="30" hidden="false" customHeight="true" outlineLevel="0" collapsed="false">
      <c r="A48" s="11" t="s">
        <v>54</v>
      </c>
      <c r="B48" s="11"/>
      <c r="C48" s="11"/>
      <c r="D48" s="11"/>
      <c r="E48" s="11"/>
      <c r="F48" s="11"/>
      <c r="G48" s="11"/>
    </row>
    <row r="49" customFormat="false" ht="30" hidden="false" customHeight="true" outlineLevel="0" collapsed="false">
      <c r="A49" s="11" t="s">
        <v>55</v>
      </c>
      <c r="B49" s="11"/>
      <c r="C49" s="11"/>
      <c r="D49" s="11"/>
      <c r="E49" s="11"/>
      <c r="F49" s="11"/>
      <c r="G49" s="11"/>
    </row>
  </sheetData>
  <mergeCells count="23">
    <mergeCell ref="A23:G23"/>
    <mergeCell ref="A24:G24"/>
    <mergeCell ref="A25:G25"/>
    <mergeCell ref="A26:G26"/>
    <mergeCell ref="A27:G27"/>
    <mergeCell ref="A28:G28"/>
    <mergeCell ref="A29:G29"/>
    <mergeCell ref="A30:G30"/>
    <mergeCell ref="A31:G31"/>
    <mergeCell ref="A32:G32"/>
    <mergeCell ref="A33:G33"/>
    <mergeCell ref="B36:G36"/>
    <mergeCell ref="B37:G37"/>
    <mergeCell ref="B38:G38"/>
    <mergeCell ref="B39:G39"/>
    <mergeCell ref="B40:G40"/>
    <mergeCell ref="B41:G41"/>
    <mergeCell ref="A44:G44"/>
    <mergeCell ref="A45:G45"/>
    <mergeCell ref="A46:G46"/>
    <mergeCell ref="A47:G47"/>
    <mergeCell ref="A48:G48"/>
    <mergeCell ref="A49:G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95"/>
    <col collapsed="false" customWidth="true" hidden="false" outlineLevel="0" max="4" min="4" style="0" width="38"/>
  </cols>
  <sheetData>
    <row r="1" customFormat="false" ht="17.35" hidden="false" customHeight="false" outlineLevel="0" collapsed="false">
      <c r="A1" s="1" t="s">
        <v>56</v>
      </c>
    </row>
    <row r="2" customFormat="false" ht="42" hidden="false" customHeight="true" outlineLevel="0" collapsed="false">
      <c r="A2" s="11" t="s">
        <v>57</v>
      </c>
      <c r="B2" s="11"/>
      <c r="C2" s="11"/>
      <c r="D2" s="11"/>
    </row>
    <row r="4" customFormat="false" ht="15" hidden="false" customHeight="false" outlineLevel="0" collapsed="false">
      <c r="A4" s="6" t="s">
        <v>58</v>
      </c>
      <c r="B4" s="6" t="s">
        <v>59</v>
      </c>
      <c r="C4" s="6" t="s">
        <v>60</v>
      </c>
      <c r="D4" s="6" t="s">
        <v>61</v>
      </c>
    </row>
    <row r="5" customFormat="false" ht="54.75" hidden="false" customHeight="true" outlineLevel="0" collapsed="false">
      <c r="A5" s="7" t="s">
        <v>62</v>
      </c>
      <c r="B5" s="7" t="s">
        <v>63</v>
      </c>
      <c r="C5" s="8" t="s">
        <v>64</v>
      </c>
      <c r="D5" s="5"/>
    </row>
    <row r="6" customFormat="false" ht="29.25" hidden="false" customHeight="true" outlineLevel="0" collapsed="false">
      <c r="A6" s="7" t="s">
        <v>65</v>
      </c>
      <c r="B6" s="7" t="s">
        <v>66</v>
      </c>
      <c r="C6" s="8" t="s">
        <v>67</v>
      </c>
      <c r="D6" s="5"/>
    </row>
    <row r="7" customFormat="false" ht="42" hidden="false" customHeight="true" outlineLevel="0" collapsed="false">
      <c r="A7" s="7" t="s">
        <v>68</v>
      </c>
      <c r="B7" s="7" t="s">
        <v>69</v>
      </c>
      <c r="C7" s="8" t="s">
        <v>70</v>
      </c>
      <c r="D7" s="5"/>
    </row>
    <row r="8" customFormat="false" ht="29.25" hidden="false" customHeight="true" outlineLevel="0" collapsed="false">
      <c r="A8" s="7" t="s">
        <v>71</v>
      </c>
      <c r="B8" s="7" t="s">
        <v>72</v>
      </c>
      <c r="C8" s="8" t="s">
        <v>73</v>
      </c>
      <c r="D8" s="5"/>
    </row>
    <row r="9" customFormat="false" ht="54.75" hidden="false" customHeight="true" outlineLevel="0" collapsed="false">
      <c r="A9" s="7" t="s">
        <v>74</v>
      </c>
      <c r="B9" s="7" t="s">
        <v>75</v>
      </c>
      <c r="C9" s="8" t="s">
        <v>76</v>
      </c>
      <c r="D9" s="5"/>
    </row>
    <row r="10" customFormat="false" ht="42" hidden="false" customHeight="true" outlineLevel="0" collapsed="false">
      <c r="A10" s="7" t="s">
        <v>77</v>
      </c>
      <c r="B10" s="7" t="s">
        <v>78</v>
      </c>
      <c r="C10" s="8" t="s">
        <v>79</v>
      </c>
      <c r="D10" s="5"/>
    </row>
    <row r="11" customFormat="false" ht="29.25" hidden="false" customHeight="true" outlineLevel="0" collapsed="false">
      <c r="A11" s="7" t="s">
        <v>80</v>
      </c>
      <c r="B11" s="7" t="s">
        <v>81</v>
      </c>
      <c r="C11" s="8" t="s">
        <v>82</v>
      </c>
      <c r="D11" s="5"/>
    </row>
    <row r="12" customFormat="false" ht="80.25" hidden="false" customHeight="true" outlineLevel="0" collapsed="false">
      <c r="A12" s="7" t="s">
        <v>83</v>
      </c>
      <c r="B12" s="7" t="s">
        <v>84</v>
      </c>
      <c r="C12" s="8" t="s">
        <v>85</v>
      </c>
      <c r="D12" s="5"/>
    </row>
    <row r="13" customFormat="false" ht="29.25" hidden="false" customHeight="true" outlineLevel="0" collapsed="false">
      <c r="A13" s="7" t="s">
        <v>86</v>
      </c>
      <c r="B13" s="7" t="s">
        <v>87</v>
      </c>
      <c r="C13" s="8" t="s">
        <v>88</v>
      </c>
      <c r="D13" s="5"/>
    </row>
    <row r="14" customFormat="false" ht="54.75" hidden="false" customHeight="true" outlineLevel="0" collapsed="false">
      <c r="A14" s="7" t="s">
        <v>89</v>
      </c>
      <c r="B14" s="7" t="s">
        <v>90</v>
      </c>
      <c r="C14" s="8" t="s">
        <v>91</v>
      </c>
      <c r="D14" s="5"/>
    </row>
    <row r="15" customFormat="false" ht="42" hidden="false" customHeight="true" outlineLevel="0" collapsed="false">
      <c r="A15" s="7" t="s">
        <v>92</v>
      </c>
      <c r="B15" s="7" t="s">
        <v>93</v>
      </c>
      <c r="C15" s="8" t="s">
        <v>94</v>
      </c>
      <c r="D15" s="5"/>
    </row>
    <row r="16" customFormat="false" ht="54.75" hidden="false" customHeight="true" outlineLevel="0" collapsed="false">
      <c r="A16" s="7" t="s">
        <v>95</v>
      </c>
      <c r="B16" s="7" t="s">
        <v>96</v>
      </c>
      <c r="C16" s="8" t="s">
        <v>97</v>
      </c>
      <c r="D16" s="5"/>
    </row>
    <row r="17" customFormat="false" ht="42" hidden="false" customHeight="true" outlineLevel="0" collapsed="false">
      <c r="A17" s="7" t="s">
        <v>98</v>
      </c>
      <c r="B17" s="7" t="s">
        <v>99</v>
      </c>
      <c r="C17" s="8" t="s">
        <v>100</v>
      </c>
      <c r="D17" s="5"/>
    </row>
    <row r="18" customFormat="false" ht="42" hidden="false" customHeight="true" outlineLevel="0" collapsed="false">
      <c r="A18" s="7" t="s">
        <v>101</v>
      </c>
      <c r="B18" s="7" t="s">
        <v>102</v>
      </c>
      <c r="C18" s="8" t="s">
        <v>103</v>
      </c>
      <c r="D18" s="5"/>
    </row>
    <row r="19" customFormat="false" ht="42" hidden="false" customHeight="true" outlineLevel="0" collapsed="false">
      <c r="A19" s="7" t="s">
        <v>104</v>
      </c>
      <c r="B19" s="7" t="s">
        <v>105</v>
      </c>
      <c r="C19" s="8" t="s">
        <v>106</v>
      </c>
      <c r="D19" s="5"/>
    </row>
    <row r="20" customFormat="false" ht="29.25" hidden="false" customHeight="true" outlineLevel="0" collapsed="false">
      <c r="A20" s="7" t="s">
        <v>107</v>
      </c>
      <c r="B20" s="7" t="s">
        <v>108</v>
      </c>
      <c r="C20" s="8" t="s">
        <v>109</v>
      </c>
      <c r="D20" s="5"/>
    </row>
    <row r="21" customFormat="false" ht="29.25" hidden="false" customHeight="true" outlineLevel="0" collapsed="false">
      <c r="A21" s="7" t="s">
        <v>110</v>
      </c>
      <c r="B21" s="7" t="s">
        <v>111</v>
      </c>
      <c r="C21" s="8" t="s">
        <v>112</v>
      </c>
      <c r="D21" s="5"/>
    </row>
    <row r="22" customFormat="false" ht="42" hidden="false" customHeight="true" outlineLevel="0" collapsed="false">
      <c r="A22" s="7" t="s">
        <v>113</v>
      </c>
      <c r="B22" s="7" t="s">
        <v>114</v>
      </c>
      <c r="C22" s="8" t="s">
        <v>115</v>
      </c>
      <c r="D22" s="5"/>
    </row>
    <row r="23" customFormat="false" ht="54.75" hidden="false" customHeight="true" outlineLevel="0" collapsed="false">
      <c r="A23" s="7" t="s">
        <v>116</v>
      </c>
      <c r="B23" s="7" t="s">
        <v>117</v>
      </c>
      <c r="C23" s="8" t="s">
        <v>118</v>
      </c>
      <c r="D23" s="5"/>
    </row>
    <row r="24" customFormat="false" ht="42" hidden="false" customHeight="true" outlineLevel="0" collapsed="false">
      <c r="A24" s="7" t="s">
        <v>119</v>
      </c>
      <c r="B24" s="7" t="s">
        <v>120</v>
      </c>
      <c r="C24" s="8" t="s">
        <v>121</v>
      </c>
      <c r="D24" s="5"/>
    </row>
    <row r="25" customFormat="false" ht="29.25" hidden="false" customHeight="true" outlineLevel="0" collapsed="false">
      <c r="A25" s="7" t="s">
        <v>122</v>
      </c>
      <c r="B25" s="7" t="s">
        <v>123</v>
      </c>
      <c r="C25" s="8" t="s">
        <v>124</v>
      </c>
      <c r="D25" s="5"/>
    </row>
    <row r="26" customFormat="false" ht="42" hidden="false" customHeight="true" outlineLevel="0" collapsed="false">
      <c r="A26" s="7" t="s">
        <v>125</v>
      </c>
      <c r="B26" s="7" t="s">
        <v>126</v>
      </c>
      <c r="C26" s="8" t="s">
        <v>127</v>
      </c>
      <c r="D26" s="5"/>
    </row>
    <row r="27" customFormat="false" ht="29.25" hidden="false" customHeight="true" outlineLevel="0" collapsed="false">
      <c r="A27" s="7" t="s">
        <v>128</v>
      </c>
      <c r="B27" s="7" t="s">
        <v>129</v>
      </c>
      <c r="C27" s="8" t="s">
        <v>130</v>
      </c>
      <c r="D27" s="5"/>
    </row>
    <row r="28" customFormat="false" ht="42" hidden="false" customHeight="true" outlineLevel="0" collapsed="false">
      <c r="A28" s="7" t="s">
        <v>131</v>
      </c>
      <c r="B28" s="7" t="s">
        <v>132</v>
      </c>
      <c r="C28" s="8" t="s">
        <v>133</v>
      </c>
      <c r="D28" s="5"/>
    </row>
    <row r="29" customFormat="false" ht="54.75" hidden="false" customHeight="true" outlineLevel="0" collapsed="false">
      <c r="A29" s="7" t="s">
        <v>134</v>
      </c>
      <c r="B29" s="7" t="s">
        <v>135</v>
      </c>
      <c r="C29" s="8" t="s">
        <v>136</v>
      </c>
      <c r="D29" s="5"/>
    </row>
    <row r="30" customFormat="false" ht="29.25" hidden="false" customHeight="true" outlineLevel="0" collapsed="false">
      <c r="A30" s="7" t="s">
        <v>137</v>
      </c>
      <c r="B30" s="7" t="s">
        <v>138</v>
      </c>
      <c r="C30" s="8" t="s">
        <v>139</v>
      </c>
      <c r="D30" s="5"/>
    </row>
    <row r="31" customFormat="false" ht="42" hidden="false" customHeight="true" outlineLevel="0" collapsed="false">
      <c r="A31" s="7" t="s">
        <v>140</v>
      </c>
      <c r="B31" s="7" t="s">
        <v>141</v>
      </c>
      <c r="C31" s="8" t="s">
        <v>142</v>
      </c>
      <c r="D31" s="5"/>
    </row>
    <row r="32" customFormat="false" ht="42" hidden="false" customHeight="true" outlineLevel="0" collapsed="false">
      <c r="A32" s="7" t="s">
        <v>143</v>
      </c>
      <c r="B32" s="7" t="s">
        <v>144</v>
      </c>
      <c r="C32" s="8" t="s">
        <v>145</v>
      </c>
      <c r="D32" s="5"/>
    </row>
    <row r="33" customFormat="false" ht="29.25" hidden="false" customHeight="true" outlineLevel="0" collapsed="false">
      <c r="A33" s="7" t="s">
        <v>146</v>
      </c>
      <c r="B33" s="7" t="s">
        <v>147</v>
      </c>
      <c r="C33" s="8" t="s">
        <v>148</v>
      </c>
      <c r="D33" s="5"/>
    </row>
    <row r="34" customFormat="false" ht="42" hidden="false" customHeight="true" outlineLevel="0" collapsed="false">
      <c r="A34" s="7" t="s">
        <v>149</v>
      </c>
      <c r="B34" s="7" t="s">
        <v>150</v>
      </c>
      <c r="C34" s="8" t="s">
        <v>151</v>
      </c>
      <c r="D34" s="5"/>
    </row>
    <row r="35" customFormat="false" ht="54.75" hidden="false" customHeight="true" outlineLevel="0" collapsed="false">
      <c r="A35" s="7" t="s">
        <v>152</v>
      </c>
      <c r="B35" s="7" t="s">
        <v>153</v>
      </c>
      <c r="C35" s="8" t="s">
        <v>154</v>
      </c>
      <c r="D35" s="5"/>
    </row>
    <row r="36" customFormat="false" ht="42" hidden="false" customHeight="true" outlineLevel="0" collapsed="false">
      <c r="A36" s="7" t="s">
        <v>155</v>
      </c>
      <c r="B36" s="7" t="s">
        <v>156</v>
      </c>
      <c r="C36" s="8" t="s">
        <v>157</v>
      </c>
      <c r="D36" s="5"/>
    </row>
    <row r="37" customFormat="false" ht="29.25" hidden="false" customHeight="true" outlineLevel="0" collapsed="false">
      <c r="A37" s="7" t="s">
        <v>158</v>
      </c>
      <c r="B37" s="7" t="s">
        <v>159</v>
      </c>
      <c r="C37" s="8" t="s">
        <v>160</v>
      </c>
      <c r="D37" s="5"/>
    </row>
    <row r="38" customFormat="false" ht="54.75" hidden="false" customHeight="true" outlineLevel="0" collapsed="false">
      <c r="A38" s="7" t="s">
        <v>161</v>
      </c>
      <c r="B38" s="7" t="s">
        <v>162</v>
      </c>
      <c r="C38" s="8" t="s">
        <v>163</v>
      </c>
      <c r="D38" s="5"/>
    </row>
    <row r="39" customFormat="false" ht="42" hidden="false" customHeight="true" outlineLevel="0" collapsed="false">
      <c r="A39" s="7" t="s">
        <v>164</v>
      </c>
      <c r="B39" s="7" t="s">
        <v>165</v>
      </c>
      <c r="C39" s="8" t="s">
        <v>166</v>
      </c>
      <c r="D39" s="5"/>
    </row>
    <row r="40" customFormat="false" ht="29.25" hidden="false" customHeight="true" outlineLevel="0" collapsed="false">
      <c r="A40" s="7" t="s">
        <v>167</v>
      </c>
      <c r="B40" s="7" t="s">
        <v>168</v>
      </c>
      <c r="C40" s="8" t="s">
        <v>169</v>
      </c>
      <c r="D40" s="5"/>
    </row>
    <row r="41" customFormat="false" ht="42" hidden="false" customHeight="true" outlineLevel="0" collapsed="false">
      <c r="A41" s="7" t="s">
        <v>170</v>
      </c>
      <c r="B41" s="7" t="s">
        <v>171</v>
      </c>
      <c r="C41" s="8" t="s">
        <v>172</v>
      </c>
      <c r="D41" s="5"/>
    </row>
    <row r="42" customFormat="false" ht="93" hidden="false" customHeight="true" outlineLevel="0" collapsed="false">
      <c r="A42" s="7" t="s">
        <v>173</v>
      </c>
      <c r="B42" s="7" t="s">
        <v>174</v>
      </c>
      <c r="C42" s="8" t="s">
        <v>175</v>
      </c>
      <c r="D42" s="5"/>
    </row>
    <row r="43" customFormat="false" ht="118.5" hidden="false" customHeight="true" outlineLevel="0" collapsed="false">
      <c r="A43" s="7" t="s">
        <v>176</v>
      </c>
      <c r="B43" s="7" t="s">
        <v>177</v>
      </c>
      <c r="C43" s="8" t="s">
        <v>178</v>
      </c>
      <c r="D43" s="5"/>
    </row>
    <row r="44" customFormat="false" ht="67.5" hidden="false" customHeight="true" outlineLevel="0" collapsed="false">
      <c r="A44" s="7" t="s">
        <v>179</v>
      </c>
      <c r="B44" s="7" t="s">
        <v>180</v>
      </c>
      <c r="C44" s="8" t="s">
        <v>181</v>
      </c>
      <c r="D44" s="5"/>
    </row>
    <row r="45" customFormat="false" ht="80.25" hidden="false" customHeight="true" outlineLevel="0" collapsed="false">
      <c r="A45" s="7" t="s">
        <v>182</v>
      </c>
      <c r="B45" s="7" t="s">
        <v>183</v>
      </c>
      <c r="C45" s="8" t="s">
        <v>184</v>
      </c>
      <c r="D45" s="5"/>
    </row>
    <row r="46" customFormat="false" ht="42" hidden="false" customHeight="true" outlineLevel="0" collapsed="false">
      <c r="A46" s="7" t="s">
        <v>185</v>
      </c>
      <c r="B46" s="7" t="s">
        <v>186</v>
      </c>
      <c r="C46" s="8" t="s">
        <v>187</v>
      </c>
      <c r="D46" s="5"/>
    </row>
    <row r="47" customFormat="false" ht="42" hidden="false" customHeight="true" outlineLevel="0" collapsed="false">
      <c r="A47" s="7" t="s">
        <v>188</v>
      </c>
      <c r="B47" s="7" t="s">
        <v>189</v>
      </c>
      <c r="C47" s="8" t="s">
        <v>190</v>
      </c>
      <c r="D47" s="5"/>
    </row>
    <row r="48" customFormat="false" ht="42" hidden="false" customHeight="true" outlineLevel="0" collapsed="false">
      <c r="A48" s="7" t="s">
        <v>191</v>
      </c>
      <c r="B48" s="7" t="s">
        <v>192</v>
      </c>
      <c r="C48" s="8" t="s">
        <v>193</v>
      </c>
      <c r="D48" s="5"/>
    </row>
    <row r="49" customFormat="false" ht="42" hidden="false" customHeight="true" outlineLevel="0" collapsed="false">
      <c r="A49" s="7" t="s">
        <v>194</v>
      </c>
      <c r="B49" s="7" t="s">
        <v>195</v>
      </c>
      <c r="C49" s="8" t="s">
        <v>196</v>
      </c>
      <c r="D49" s="5"/>
    </row>
    <row r="50" customFormat="false" ht="54.75" hidden="false" customHeight="true" outlineLevel="0" collapsed="false">
      <c r="A50" s="7" t="s">
        <v>197</v>
      </c>
      <c r="B50" s="7" t="s">
        <v>198</v>
      </c>
      <c r="C50" s="8" t="s">
        <v>199</v>
      </c>
      <c r="D50" s="5"/>
    </row>
    <row r="51" customFormat="false" ht="42" hidden="false" customHeight="true" outlineLevel="0" collapsed="false">
      <c r="A51" s="7" t="s">
        <v>200</v>
      </c>
      <c r="B51" s="7" t="s">
        <v>201</v>
      </c>
      <c r="C51" s="8" t="s">
        <v>202</v>
      </c>
      <c r="D51" s="5"/>
    </row>
    <row r="52" customFormat="false" ht="42" hidden="false" customHeight="true" outlineLevel="0" collapsed="false">
      <c r="A52" s="7" t="s">
        <v>203</v>
      </c>
      <c r="B52" s="7" t="s">
        <v>204</v>
      </c>
      <c r="C52" s="8" t="s">
        <v>205</v>
      </c>
      <c r="D52" s="5"/>
    </row>
    <row r="53" customFormat="false" ht="29.25" hidden="false" customHeight="true" outlineLevel="0" collapsed="false">
      <c r="A53" s="7" t="s">
        <v>206</v>
      </c>
      <c r="B53" s="7" t="s">
        <v>207</v>
      </c>
      <c r="C53" s="8" t="s">
        <v>208</v>
      </c>
      <c r="D53" s="5"/>
    </row>
    <row r="54" customFormat="false" ht="42" hidden="false" customHeight="true" outlineLevel="0" collapsed="false">
      <c r="A54" s="7" t="s">
        <v>209</v>
      </c>
      <c r="B54" s="7" t="s">
        <v>210</v>
      </c>
      <c r="C54" s="8" t="s">
        <v>211</v>
      </c>
      <c r="D54" s="5"/>
    </row>
    <row r="55" customFormat="false" ht="42" hidden="false" customHeight="true" outlineLevel="0" collapsed="false">
      <c r="A55" s="7" t="s">
        <v>212</v>
      </c>
      <c r="B55" s="7" t="s">
        <v>213</v>
      </c>
      <c r="C55" s="8" t="s">
        <v>214</v>
      </c>
      <c r="D55" s="5"/>
    </row>
    <row r="56" customFormat="false" ht="80.25" hidden="false" customHeight="true" outlineLevel="0" collapsed="false">
      <c r="A56" s="7" t="s">
        <v>215</v>
      </c>
      <c r="B56" s="7" t="s">
        <v>216</v>
      </c>
      <c r="C56" s="8" t="s">
        <v>217</v>
      </c>
      <c r="D56" s="5"/>
    </row>
    <row r="57" customFormat="false" ht="42" hidden="false" customHeight="true" outlineLevel="0" collapsed="false">
      <c r="A57" s="7" t="s">
        <v>218</v>
      </c>
      <c r="B57" s="7" t="s">
        <v>219</v>
      </c>
      <c r="C57" s="8" t="s">
        <v>220</v>
      </c>
      <c r="D57" s="5"/>
    </row>
    <row r="58" customFormat="false" ht="42" hidden="false" customHeight="true" outlineLevel="0" collapsed="false">
      <c r="A58" s="7" t="s">
        <v>221</v>
      </c>
      <c r="B58" s="7" t="s">
        <v>222</v>
      </c>
      <c r="C58" s="8" t="s">
        <v>223</v>
      </c>
      <c r="D58" s="5"/>
    </row>
    <row r="59" customFormat="false" ht="42" hidden="false" customHeight="true" outlineLevel="0" collapsed="false">
      <c r="A59" s="7" t="s">
        <v>224</v>
      </c>
      <c r="B59" s="7" t="s">
        <v>225</v>
      </c>
      <c r="C59" s="8" t="s">
        <v>226</v>
      </c>
      <c r="D59" s="5"/>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40"/>
    <col collapsed="false" customWidth="true" hidden="false" outlineLevel="0" max="5" min="5" style="0" width="22"/>
    <col collapsed="false" customWidth="true" hidden="false" outlineLevel="0" max="6" min="6" style="0" width="44"/>
  </cols>
  <sheetData>
    <row r="1" customFormat="false" ht="17.35" hidden="false" customHeight="false" outlineLevel="0" collapsed="false">
      <c r="A1" s="1" t="s">
        <v>227</v>
      </c>
    </row>
    <row r="2" customFormat="false" ht="30" hidden="false" customHeight="true" outlineLevel="0" collapsed="false">
      <c r="A2" s="11" t="s">
        <v>228</v>
      </c>
      <c r="B2" s="11"/>
      <c r="C2" s="11"/>
      <c r="D2" s="11"/>
      <c r="E2" s="11"/>
      <c r="F2" s="11"/>
    </row>
    <row r="4" customFormat="false" ht="15" hidden="false" customHeight="false" outlineLevel="0" collapsed="false">
      <c r="A4" s="3" t="s">
        <v>229</v>
      </c>
    </row>
    <row r="5" customFormat="false" ht="15" hidden="false" customHeight="false" outlineLevel="0" collapsed="false">
      <c r="A5" s="6" t="s">
        <v>58</v>
      </c>
      <c r="B5" s="6" t="s">
        <v>230</v>
      </c>
      <c r="C5" s="6" t="s">
        <v>231</v>
      </c>
      <c r="D5" s="6" t="s">
        <v>232</v>
      </c>
      <c r="E5" s="6" t="s">
        <v>233</v>
      </c>
      <c r="F5" s="6" t="s">
        <v>234</v>
      </c>
    </row>
    <row r="6" customFormat="false" ht="16.5" hidden="false" customHeight="true" outlineLevel="0" collapsed="false">
      <c r="A6" s="4" t="s">
        <v>235</v>
      </c>
      <c r="B6" s="8" t="s">
        <v>236</v>
      </c>
      <c r="C6" s="8" t="s">
        <v>237</v>
      </c>
      <c r="D6" s="8" t="s">
        <v>238</v>
      </c>
      <c r="E6" s="8" t="s">
        <v>239</v>
      </c>
      <c r="F6" s="8" t="s">
        <v>240</v>
      </c>
    </row>
    <row r="7" customFormat="false" ht="29.25" hidden="false" customHeight="true" outlineLevel="0" collapsed="false">
      <c r="A7" s="4" t="s">
        <v>241</v>
      </c>
      <c r="B7" s="8" t="s">
        <v>236</v>
      </c>
      <c r="C7" s="8" t="s">
        <v>242</v>
      </c>
      <c r="D7" s="8" t="s">
        <v>243</v>
      </c>
      <c r="E7" s="8" t="s">
        <v>244</v>
      </c>
      <c r="F7" s="8" t="s">
        <v>245</v>
      </c>
    </row>
    <row r="8" customFormat="false" ht="29.25" hidden="false" customHeight="true" outlineLevel="0" collapsed="false">
      <c r="A8" s="4" t="s">
        <v>246</v>
      </c>
      <c r="B8" s="8" t="s">
        <v>247</v>
      </c>
      <c r="C8" s="8" t="s">
        <v>248</v>
      </c>
      <c r="D8" s="8" t="s">
        <v>249</v>
      </c>
      <c r="E8" s="8" t="s">
        <v>250</v>
      </c>
      <c r="F8" s="8" t="s">
        <v>251</v>
      </c>
    </row>
    <row r="9" customFormat="false" ht="16.5" hidden="false" customHeight="true" outlineLevel="0" collapsed="false">
      <c r="A9" s="4" t="s">
        <v>252</v>
      </c>
      <c r="B9" s="8" t="s">
        <v>247</v>
      </c>
      <c r="C9" s="8" t="s">
        <v>253</v>
      </c>
      <c r="D9" s="8" t="s">
        <v>254</v>
      </c>
      <c r="E9" s="8" t="s">
        <v>255</v>
      </c>
      <c r="F9" s="8" t="s">
        <v>256</v>
      </c>
    </row>
    <row r="10" customFormat="false" ht="29.25" hidden="false" customHeight="true" outlineLevel="0" collapsed="false">
      <c r="A10" s="4" t="s">
        <v>257</v>
      </c>
      <c r="B10" s="8" t="s">
        <v>247</v>
      </c>
      <c r="C10" s="8" t="s">
        <v>258</v>
      </c>
      <c r="D10" s="8" t="s">
        <v>259</v>
      </c>
      <c r="E10" s="8" t="s">
        <v>250</v>
      </c>
      <c r="F10" s="8" t="s">
        <v>260</v>
      </c>
    </row>
    <row r="11" customFormat="false" ht="29.25" hidden="false" customHeight="true" outlineLevel="0" collapsed="false">
      <c r="A11" s="4" t="s">
        <v>261</v>
      </c>
      <c r="B11" s="8" t="s">
        <v>262</v>
      </c>
      <c r="C11" s="8" t="s">
        <v>263</v>
      </c>
      <c r="D11" s="8" t="s">
        <v>264</v>
      </c>
      <c r="E11" s="8" t="s">
        <v>265</v>
      </c>
      <c r="F11" s="8" t="s">
        <v>266</v>
      </c>
    </row>
    <row r="12" customFormat="false" ht="29.25" hidden="false" customHeight="true" outlineLevel="0" collapsed="false">
      <c r="A12" s="4" t="s">
        <v>267</v>
      </c>
      <c r="B12" s="8" t="s">
        <v>262</v>
      </c>
      <c r="C12" s="8" t="s">
        <v>268</v>
      </c>
      <c r="D12" s="8" t="s">
        <v>269</v>
      </c>
      <c r="E12" s="8" t="s">
        <v>270</v>
      </c>
      <c r="F12" s="8" t="s">
        <v>271</v>
      </c>
    </row>
    <row r="13" customFormat="false" ht="16.5" hidden="false" customHeight="true" outlineLevel="0" collapsed="false">
      <c r="A13" s="4" t="s">
        <v>272</v>
      </c>
      <c r="B13" s="8" t="s">
        <v>273</v>
      </c>
      <c r="C13" s="8" t="s">
        <v>274</v>
      </c>
      <c r="D13" s="8" t="s">
        <v>275</v>
      </c>
      <c r="E13" s="8" t="s">
        <v>276</v>
      </c>
      <c r="F13" s="8" t="s">
        <v>277</v>
      </c>
    </row>
    <row r="14" customFormat="false" ht="29.25" hidden="false" customHeight="true" outlineLevel="0" collapsed="false">
      <c r="A14" s="4" t="s">
        <v>278</v>
      </c>
      <c r="B14" s="8" t="s">
        <v>273</v>
      </c>
      <c r="C14" s="8" t="s">
        <v>279</v>
      </c>
      <c r="D14" s="8" t="s">
        <v>280</v>
      </c>
      <c r="E14" s="8" t="s">
        <v>281</v>
      </c>
      <c r="F14" s="8" t="s">
        <v>282</v>
      </c>
    </row>
    <row r="15" customFormat="false" ht="29.25" hidden="false" customHeight="true" outlineLevel="0" collapsed="false">
      <c r="A15" s="4" t="s">
        <v>283</v>
      </c>
      <c r="B15" s="8" t="s">
        <v>273</v>
      </c>
      <c r="C15" s="8" t="s">
        <v>284</v>
      </c>
      <c r="D15" s="8" t="s">
        <v>285</v>
      </c>
      <c r="E15" s="8" t="s">
        <v>276</v>
      </c>
      <c r="F15" s="8" t="s">
        <v>286</v>
      </c>
    </row>
    <row r="16" customFormat="false" ht="29.25" hidden="false" customHeight="true" outlineLevel="0" collapsed="false">
      <c r="A16" s="4" t="s">
        <v>287</v>
      </c>
      <c r="B16" s="8" t="s">
        <v>287</v>
      </c>
      <c r="C16" s="8" t="s">
        <v>288</v>
      </c>
      <c r="D16" s="8" t="s">
        <v>289</v>
      </c>
      <c r="E16" s="8"/>
      <c r="F16" s="8" t="s">
        <v>290</v>
      </c>
    </row>
    <row r="18" customFormat="false" ht="15" hidden="false" customHeight="false" outlineLevel="0" collapsed="false">
      <c r="A18" s="3" t="s">
        <v>291</v>
      </c>
    </row>
    <row r="19" customFormat="false" ht="15" hidden="false" customHeight="false" outlineLevel="0" collapsed="false">
      <c r="A19" s="6" t="s">
        <v>58</v>
      </c>
      <c r="B19" s="6" t="s">
        <v>292</v>
      </c>
      <c r="C19" s="6" t="s">
        <v>293</v>
      </c>
      <c r="D19" s="6" t="s">
        <v>294</v>
      </c>
      <c r="E19" s="6" t="s">
        <v>295</v>
      </c>
      <c r="F19" s="6" t="s">
        <v>296</v>
      </c>
    </row>
    <row r="20" customFormat="false" ht="29.25" hidden="false" customHeight="true" outlineLevel="0" collapsed="false">
      <c r="A20" s="4" t="s">
        <v>297</v>
      </c>
      <c r="B20" s="8" t="s">
        <v>235</v>
      </c>
      <c r="C20" s="8" t="s">
        <v>298</v>
      </c>
      <c r="D20" s="8" t="s">
        <v>299</v>
      </c>
      <c r="E20" s="8" t="s">
        <v>300</v>
      </c>
      <c r="F20" s="8" t="s">
        <v>301</v>
      </c>
    </row>
    <row r="21" customFormat="false" ht="42" hidden="false" customHeight="true" outlineLevel="0" collapsed="false">
      <c r="A21" s="4" t="s">
        <v>302</v>
      </c>
      <c r="B21" s="8" t="s">
        <v>235</v>
      </c>
      <c r="C21" s="8" t="s">
        <v>303</v>
      </c>
      <c r="D21" s="8" t="s">
        <v>304</v>
      </c>
      <c r="E21" s="8" t="s">
        <v>300</v>
      </c>
      <c r="F21" s="8" t="s">
        <v>301</v>
      </c>
    </row>
    <row r="22" customFormat="false" ht="29.25" hidden="false" customHeight="true" outlineLevel="0" collapsed="false">
      <c r="A22" s="4" t="s">
        <v>305</v>
      </c>
      <c r="B22" s="8" t="s">
        <v>241</v>
      </c>
      <c r="C22" s="8" t="s">
        <v>298</v>
      </c>
      <c r="D22" s="8" t="s">
        <v>306</v>
      </c>
      <c r="E22" s="8" t="s">
        <v>307</v>
      </c>
      <c r="F22" s="8" t="s">
        <v>308</v>
      </c>
    </row>
    <row r="23" customFormat="false" ht="29.25" hidden="false" customHeight="true" outlineLevel="0" collapsed="false">
      <c r="A23" s="4" t="s">
        <v>309</v>
      </c>
      <c r="B23" s="8" t="s">
        <v>235</v>
      </c>
      <c r="C23" s="8" t="s">
        <v>310</v>
      </c>
      <c r="D23" s="8" t="s">
        <v>311</v>
      </c>
      <c r="E23" s="8" t="s">
        <v>300</v>
      </c>
      <c r="F23" s="8" t="s">
        <v>312</v>
      </c>
    </row>
    <row r="25" customFormat="false" ht="15" hidden="false" customHeight="false" outlineLevel="0" collapsed="false">
      <c r="A25" s="3" t="s">
        <v>313</v>
      </c>
    </row>
    <row r="26" customFormat="false" ht="15" hidden="false" customHeight="false" outlineLevel="0" collapsed="false">
      <c r="A26" s="6" t="s">
        <v>58</v>
      </c>
      <c r="B26" s="6" t="s">
        <v>314</v>
      </c>
      <c r="C26" s="6" t="s">
        <v>315</v>
      </c>
      <c r="D26" s="6" t="s">
        <v>316</v>
      </c>
      <c r="E26" s="6" t="s">
        <v>317</v>
      </c>
      <c r="F26" s="6" t="s">
        <v>296</v>
      </c>
    </row>
    <row r="27" customFormat="false" ht="16.5" hidden="false" customHeight="true" outlineLevel="0" collapsed="false">
      <c r="A27" s="4" t="s">
        <v>318</v>
      </c>
      <c r="B27" s="8" t="s">
        <v>319</v>
      </c>
      <c r="C27" s="8"/>
      <c r="D27" s="8" t="s">
        <v>320</v>
      </c>
      <c r="E27" s="8" t="s">
        <v>321</v>
      </c>
      <c r="F27" s="8"/>
    </row>
    <row r="28" customFormat="false" ht="16.5" hidden="false" customHeight="true" outlineLevel="0" collapsed="false">
      <c r="A28" s="4" t="s">
        <v>322</v>
      </c>
      <c r="B28" s="8" t="s">
        <v>323</v>
      </c>
      <c r="C28" s="8"/>
      <c r="D28" s="8" t="s">
        <v>320</v>
      </c>
      <c r="E28" s="8"/>
      <c r="F28" s="8" t="s">
        <v>324</v>
      </c>
    </row>
    <row r="29" customFormat="false" ht="16.5" hidden="false" customHeight="true" outlineLevel="0" collapsed="false">
      <c r="A29" s="4" t="s">
        <v>325</v>
      </c>
      <c r="B29" s="8" t="s">
        <v>326</v>
      </c>
      <c r="C29" s="8" t="s">
        <v>323</v>
      </c>
      <c r="D29" s="8" t="s">
        <v>320</v>
      </c>
      <c r="E29" s="8" t="s">
        <v>327</v>
      </c>
      <c r="F29" s="8" t="s">
        <v>328</v>
      </c>
    </row>
    <row r="30" customFormat="false" ht="16.5" hidden="false" customHeight="true" outlineLevel="0" collapsed="false">
      <c r="A30" s="4" t="s">
        <v>329</v>
      </c>
      <c r="B30" s="8" t="s">
        <v>330</v>
      </c>
      <c r="C30" s="8" t="s">
        <v>323</v>
      </c>
      <c r="D30" s="8" t="s">
        <v>320</v>
      </c>
      <c r="E30" s="8" t="s">
        <v>331</v>
      </c>
      <c r="F30" s="8" t="s">
        <v>328</v>
      </c>
    </row>
    <row r="31" customFormat="false" ht="16.5" hidden="false" customHeight="true" outlineLevel="0" collapsed="false">
      <c r="A31" s="4" t="s">
        <v>332</v>
      </c>
      <c r="B31" s="8" t="s">
        <v>333</v>
      </c>
      <c r="C31" s="8"/>
      <c r="D31" s="8" t="s">
        <v>320</v>
      </c>
      <c r="E31" s="8" t="s">
        <v>334</v>
      </c>
      <c r="F31" s="8"/>
    </row>
    <row r="33" customFormat="false" ht="15" hidden="false" customHeight="false" outlineLevel="0" collapsed="false">
      <c r="A33" s="3" t="s">
        <v>317</v>
      </c>
    </row>
    <row r="34" customFormat="false" ht="15" hidden="false" customHeight="false" outlineLevel="0" collapsed="false">
      <c r="A34" s="6" t="s">
        <v>58</v>
      </c>
      <c r="B34" s="6" t="s">
        <v>247</v>
      </c>
      <c r="C34" s="6" t="s">
        <v>335</v>
      </c>
      <c r="D34" s="6" t="s">
        <v>336</v>
      </c>
      <c r="E34" s="6" t="s">
        <v>337</v>
      </c>
      <c r="F34" s="6" t="s">
        <v>338</v>
      </c>
    </row>
    <row r="35" customFormat="false" ht="54.75" hidden="false" customHeight="true" outlineLevel="0" collapsed="false">
      <c r="A35" s="4" t="s">
        <v>321</v>
      </c>
      <c r="B35" s="8" t="s">
        <v>246</v>
      </c>
      <c r="C35" s="8" t="s">
        <v>339</v>
      </c>
      <c r="D35" s="8" t="s">
        <v>340</v>
      </c>
      <c r="E35" s="8" t="s">
        <v>341</v>
      </c>
      <c r="F35" s="8" t="s">
        <v>342</v>
      </c>
    </row>
    <row r="36" customFormat="false" ht="29.25" hidden="false" customHeight="true" outlineLevel="0" collapsed="false">
      <c r="A36" s="4" t="s">
        <v>331</v>
      </c>
      <c r="B36" s="8" t="s">
        <v>246</v>
      </c>
      <c r="C36" s="8" t="s">
        <v>343</v>
      </c>
      <c r="D36" s="8" t="s">
        <v>344</v>
      </c>
      <c r="E36" s="8" t="s">
        <v>345</v>
      </c>
      <c r="F36" s="8" t="s">
        <v>346</v>
      </c>
    </row>
    <row r="37" customFormat="false" ht="29.25" hidden="false" customHeight="true" outlineLevel="0" collapsed="false">
      <c r="A37" s="4" t="s">
        <v>327</v>
      </c>
      <c r="B37" s="8" t="s">
        <v>246</v>
      </c>
      <c r="C37" s="8" t="s">
        <v>347</v>
      </c>
      <c r="D37" s="8" t="s">
        <v>348</v>
      </c>
      <c r="E37" s="8" t="s">
        <v>349</v>
      </c>
      <c r="F37" s="8" t="s">
        <v>350</v>
      </c>
    </row>
    <row r="38" customFormat="false" ht="16.5" hidden="false" customHeight="true" outlineLevel="0" collapsed="false">
      <c r="A38" s="4" t="s">
        <v>334</v>
      </c>
      <c r="B38" s="8" t="s">
        <v>246</v>
      </c>
      <c r="C38" s="8" t="s">
        <v>351</v>
      </c>
      <c r="D38" s="8" t="s">
        <v>352</v>
      </c>
      <c r="E38" s="8" t="s">
        <v>353</v>
      </c>
      <c r="F38" s="8" t="s">
        <v>354</v>
      </c>
    </row>
    <row r="39" customFormat="false" ht="16.5" hidden="false" customHeight="true" outlineLevel="0" collapsed="false">
      <c r="A39" s="4" t="s">
        <v>355</v>
      </c>
      <c r="B39" s="8" t="s">
        <v>252</v>
      </c>
      <c r="C39" s="8" t="s">
        <v>356</v>
      </c>
      <c r="D39" s="8" t="s">
        <v>357</v>
      </c>
      <c r="E39" s="8" t="s">
        <v>358</v>
      </c>
      <c r="F39" s="8" t="s">
        <v>359</v>
      </c>
    </row>
    <row r="40" customFormat="false" ht="16.5" hidden="false" customHeight="true" outlineLevel="0" collapsed="false">
      <c r="A40" s="4" t="s">
        <v>360</v>
      </c>
      <c r="B40" s="8" t="s">
        <v>252</v>
      </c>
      <c r="C40" s="8" t="s">
        <v>361</v>
      </c>
      <c r="D40" s="8" t="s">
        <v>362</v>
      </c>
      <c r="E40" s="8" t="s">
        <v>363</v>
      </c>
      <c r="F40" s="8" t="s">
        <v>364</v>
      </c>
    </row>
    <row r="41" customFormat="false" ht="16.5" hidden="false" customHeight="true" outlineLevel="0" collapsed="false">
      <c r="A41" s="4" t="s">
        <v>365</v>
      </c>
      <c r="B41" s="8" t="s">
        <v>252</v>
      </c>
      <c r="C41" s="8" t="s">
        <v>366</v>
      </c>
      <c r="D41" s="8" t="s">
        <v>367</v>
      </c>
      <c r="E41" s="8" t="s">
        <v>368</v>
      </c>
      <c r="F41" s="8" t="s">
        <v>369</v>
      </c>
    </row>
    <row r="43" customFormat="false" ht="15" hidden="false" customHeight="false" outlineLevel="0" collapsed="false">
      <c r="A43" s="3" t="s">
        <v>370</v>
      </c>
    </row>
    <row r="44" customFormat="false" ht="15" hidden="false" customHeight="false" outlineLevel="0" collapsed="false">
      <c r="A44" s="6" t="s">
        <v>371</v>
      </c>
      <c r="B44" s="6" t="s">
        <v>372</v>
      </c>
      <c r="C44" s="6" t="s">
        <v>373</v>
      </c>
      <c r="D44" s="6" t="s">
        <v>374</v>
      </c>
      <c r="E44" s="6" t="s">
        <v>375</v>
      </c>
      <c r="F44" s="6" t="s">
        <v>376</v>
      </c>
    </row>
    <row r="45" customFormat="false" ht="29.25" hidden="false" customHeight="true" outlineLevel="0" collapsed="false">
      <c r="A45" s="4" t="s">
        <v>377</v>
      </c>
      <c r="B45" s="8" t="s">
        <v>378</v>
      </c>
      <c r="C45" s="8" t="s">
        <v>379</v>
      </c>
      <c r="D45" s="8" t="s">
        <v>380</v>
      </c>
      <c r="E45" s="8" t="s">
        <v>381</v>
      </c>
      <c r="F45" s="8" t="s">
        <v>382</v>
      </c>
    </row>
    <row r="46" customFormat="false" ht="29.25" hidden="false" customHeight="true" outlineLevel="0" collapsed="false">
      <c r="A46" s="4" t="s">
        <v>383</v>
      </c>
      <c r="B46" s="8" t="s">
        <v>378</v>
      </c>
      <c r="C46" s="8" t="s">
        <v>384</v>
      </c>
      <c r="D46" s="8" t="s">
        <v>385</v>
      </c>
      <c r="E46" s="8" t="s">
        <v>386</v>
      </c>
      <c r="F46" s="8" t="s">
        <v>382</v>
      </c>
    </row>
    <row r="47" customFormat="false" ht="16.5" hidden="false" customHeight="true" outlineLevel="0" collapsed="false">
      <c r="A47" s="4" t="s">
        <v>387</v>
      </c>
      <c r="B47" s="8" t="s">
        <v>388</v>
      </c>
      <c r="C47" s="8" t="s">
        <v>389</v>
      </c>
      <c r="D47" s="8" t="s">
        <v>390</v>
      </c>
      <c r="E47" s="8" t="s">
        <v>391</v>
      </c>
      <c r="F47" s="8" t="s">
        <v>392</v>
      </c>
    </row>
    <row r="48" customFormat="false" ht="16.5" hidden="false" customHeight="true" outlineLevel="0" collapsed="false">
      <c r="A48" s="4" t="s">
        <v>393</v>
      </c>
      <c r="B48" s="8" t="s">
        <v>378</v>
      </c>
      <c r="C48" s="8" t="s">
        <v>394</v>
      </c>
      <c r="D48" s="8" t="s">
        <v>395</v>
      </c>
      <c r="E48" s="8" t="s">
        <v>396</v>
      </c>
      <c r="F48" s="8" t="s">
        <v>382</v>
      </c>
    </row>
    <row r="49" customFormat="false" ht="16.5" hidden="false" customHeight="true" outlineLevel="0" collapsed="false">
      <c r="A49" s="4" t="s">
        <v>397</v>
      </c>
      <c r="B49" s="8" t="s">
        <v>378</v>
      </c>
      <c r="C49" s="8" t="s">
        <v>394</v>
      </c>
      <c r="D49" s="8" t="s">
        <v>395</v>
      </c>
      <c r="E49" s="8" t="s">
        <v>398</v>
      </c>
      <c r="F49" s="8" t="s">
        <v>382</v>
      </c>
    </row>
    <row r="50" customFormat="false" ht="29.25" hidden="false" customHeight="true" outlineLevel="0" collapsed="false">
      <c r="A50" s="4" t="s">
        <v>399</v>
      </c>
      <c r="B50" s="8" t="s">
        <v>378</v>
      </c>
      <c r="C50" s="8" t="s">
        <v>400</v>
      </c>
      <c r="D50" s="8" t="s">
        <v>401</v>
      </c>
      <c r="E50" s="8" t="s">
        <v>402</v>
      </c>
      <c r="F50" s="8" t="s">
        <v>382</v>
      </c>
    </row>
    <row r="51" customFormat="false" ht="16.5" hidden="false" customHeight="true" outlineLevel="0" collapsed="false">
      <c r="A51" s="4" t="s">
        <v>403</v>
      </c>
      <c r="B51" s="8" t="s">
        <v>404</v>
      </c>
      <c r="C51" s="8" t="s">
        <v>389</v>
      </c>
      <c r="D51" s="8" t="s">
        <v>405</v>
      </c>
      <c r="E51" s="8" t="s">
        <v>406</v>
      </c>
      <c r="F51" s="8" t="s">
        <v>382</v>
      </c>
    </row>
    <row r="52" customFormat="false" ht="16.5" hidden="false" customHeight="true" outlineLevel="0" collapsed="false">
      <c r="A52" s="4" t="s">
        <v>407</v>
      </c>
      <c r="B52" s="8" t="s">
        <v>404</v>
      </c>
      <c r="C52" s="8" t="s">
        <v>408</v>
      </c>
      <c r="D52" s="8" t="s">
        <v>409</v>
      </c>
      <c r="E52" s="8" t="s">
        <v>406</v>
      </c>
      <c r="F52" s="8" t="s">
        <v>382</v>
      </c>
    </row>
    <row r="54" customFormat="false" ht="15" hidden="false" customHeight="false" outlineLevel="0" collapsed="false">
      <c r="A54" s="3" t="s">
        <v>410</v>
      </c>
    </row>
    <row r="55" customFormat="false" ht="15" hidden="false" customHeight="false" outlineLevel="0" collapsed="false">
      <c r="A55" s="6" t="s">
        <v>411</v>
      </c>
      <c r="B55" s="6" t="s">
        <v>412</v>
      </c>
      <c r="C55" s="6" t="s">
        <v>413</v>
      </c>
      <c r="D55" s="6" t="s">
        <v>414</v>
      </c>
      <c r="E55" s="6"/>
      <c r="F55" s="6" t="s">
        <v>296</v>
      </c>
    </row>
    <row r="56" customFormat="false" ht="16.5" hidden="false" customHeight="true" outlineLevel="0" collapsed="false">
      <c r="A56" s="4" t="s">
        <v>415</v>
      </c>
      <c r="B56" s="8" t="s">
        <v>416</v>
      </c>
      <c r="C56" s="8" t="s">
        <v>417</v>
      </c>
      <c r="D56" s="8" t="s">
        <v>418</v>
      </c>
      <c r="E56" s="8"/>
      <c r="F56" s="8" t="s">
        <v>419</v>
      </c>
    </row>
    <row r="57" customFormat="false" ht="29.25" hidden="false" customHeight="true" outlineLevel="0" collapsed="false">
      <c r="A57" s="4" t="s">
        <v>420</v>
      </c>
      <c r="B57" s="8" t="s">
        <v>421</v>
      </c>
      <c r="C57" s="8" t="s">
        <v>422</v>
      </c>
      <c r="D57" s="8" t="s">
        <v>423</v>
      </c>
      <c r="E57" s="8"/>
      <c r="F57" s="8" t="s">
        <v>424</v>
      </c>
    </row>
    <row r="58" customFormat="false" ht="29.25" hidden="false" customHeight="true" outlineLevel="0" collapsed="false">
      <c r="A58" s="4" t="s">
        <v>425</v>
      </c>
      <c r="B58" s="8" t="s">
        <v>421</v>
      </c>
      <c r="C58" s="8" t="s">
        <v>422</v>
      </c>
      <c r="D58" s="8" t="s">
        <v>426</v>
      </c>
      <c r="E58" s="8"/>
      <c r="F58" s="8" t="s">
        <v>427</v>
      </c>
    </row>
    <row r="59" customFormat="false" ht="29.25" hidden="false" customHeight="true" outlineLevel="0" collapsed="false">
      <c r="A59" s="4" t="s">
        <v>428</v>
      </c>
      <c r="B59" s="8" t="s">
        <v>429</v>
      </c>
      <c r="C59" s="8" t="s">
        <v>430</v>
      </c>
      <c r="D59" s="8"/>
      <c r="E59" s="8"/>
      <c r="F59" s="8" t="s">
        <v>431</v>
      </c>
    </row>
    <row r="61" customFormat="false" ht="15" hidden="false" customHeight="false" outlineLevel="0" collapsed="false">
      <c r="A61" s="3" t="s">
        <v>432</v>
      </c>
    </row>
    <row r="62" customFormat="false" ht="15" hidden="false" customHeight="false" outlineLevel="0" collapsed="false">
      <c r="A62" s="6" t="s">
        <v>433</v>
      </c>
      <c r="B62" s="6" t="s">
        <v>434</v>
      </c>
      <c r="C62" s="6" t="s">
        <v>435</v>
      </c>
      <c r="D62" s="6" t="s">
        <v>436</v>
      </c>
      <c r="E62" s="6"/>
      <c r="F62" s="6"/>
    </row>
    <row r="63" customFormat="false" ht="29.25" hidden="false" customHeight="true" outlineLevel="0" collapsed="false">
      <c r="A63" s="4" t="s">
        <v>437</v>
      </c>
      <c r="B63" s="8" t="s">
        <v>438</v>
      </c>
      <c r="C63" s="8" t="s">
        <v>439</v>
      </c>
      <c r="D63" s="8" t="s">
        <v>440</v>
      </c>
      <c r="E63" s="8"/>
      <c r="F63" s="8"/>
    </row>
    <row r="64" customFormat="false" ht="16.5" hidden="false" customHeight="true" outlineLevel="0" collapsed="false">
      <c r="A64" s="4" t="s">
        <v>441</v>
      </c>
      <c r="B64" s="8" t="s">
        <v>442</v>
      </c>
      <c r="C64" s="8" t="s">
        <v>357</v>
      </c>
      <c r="D64" s="8"/>
      <c r="E64" s="8"/>
      <c r="F64" s="8"/>
    </row>
    <row r="65" customFormat="false" ht="16.5" hidden="false" customHeight="true" outlineLevel="0" collapsed="false">
      <c r="A65" s="4" t="s">
        <v>443</v>
      </c>
      <c r="B65" s="8" t="s">
        <v>444</v>
      </c>
      <c r="C65" s="8" t="s">
        <v>445</v>
      </c>
      <c r="D65" s="8" t="s">
        <v>446</v>
      </c>
      <c r="E65" s="8"/>
      <c r="F65" s="8"/>
    </row>
    <row r="66" customFormat="false" ht="29.25" hidden="false" customHeight="true" outlineLevel="0" collapsed="false">
      <c r="A66" s="4" t="s">
        <v>447</v>
      </c>
      <c r="B66" s="8" t="s">
        <v>448</v>
      </c>
      <c r="C66" s="8" t="s">
        <v>449</v>
      </c>
      <c r="D66" s="8" t="s">
        <v>450</v>
      </c>
      <c r="E66" s="8"/>
      <c r="F66" s="8"/>
    </row>
    <row r="67" customFormat="false" ht="29.25" hidden="false" customHeight="true" outlineLevel="0" collapsed="false">
      <c r="A67" s="4" t="s">
        <v>368</v>
      </c>
      <c r="B67" s="8" t="s">
        <v>451</v>
      </c>
      <c r="C67" s="8" t="s">
        <v>421</v>
      </c>
      <c r="D67" s="8"/>
      <c r="E67" s="8"/>
      <c r="F67" s="8"/>
    </row>
    <row r="68" customFormat="false" ht="16.5" hidden="false" customHeight="true" outlineLevel="0" collapsed="false">
      <c r="A68" s="4" t="s">
        <v>452</v>
      </c>
      <c r="B68" s="8" t="s">
        <v>453</v>
      </c>
      <c r="C68" s="8" t="s">
        <v>454</v>
      </c>
      <c r="D68" s="8" t="s">
        <v>455</v>
      </c>
      <c r="E68" s="8"/>
      <c r="F68" s="8"/>
    </row>
    <row r="69" customFormat="false" ht="16.5" hidden="false" customHeight="true" outlineLevel="0" collapsed="false">
      <c r="A69" s="4" t="s">
        <v>456</v>
      </c>
      <c r="B69" s="8" t="s">
        <v>457</v>
      </c>
      <c r="C69" s="8" t="s">
        <v>458</v>
      </c>
      <c r="D69" s="8" t="s">
        <v>459</v>
      </c>
      <c r="E69" s="8"/>
      <c r="F69" s="8"/>
    </row>
    <row r="70" customFormat="false" ht="16.5" hidden="false" customHeight="true" outlineLevel="0" collapsed="false">
      <c r="A70" s="4" t="s">
        <v>460</v>
      </c>
      <c r="B70" s="8" t="s">
        <v>461</v>
      </c>
      <c r="C70" s="8" t="s">
        <v>454</v>
      </c>
      <c r="D70" s="8" t="s">
        <v>462</v>
      </c>
      <c r="E70" s="8"/>
      <c r="F70" s="8"/>
    </row>
    <row r="71" customFormat="false" ht="16.5" hidden="false" customHeight="true" outlineLevel="0" collapsed="false">
      <c r="A71" s="4" t="s">
        <v>463</v>
      </c>
      <c r="B71" s="8" t="s">
        <v>464</v>
      </c>
      <c r="C71" s="8" t="s">
        <v>465</v>
      </c>
      <c r="D71" s="8" t="s">
        <v>466</v>
      </c>
      <c r="E71" s="8"/>
      <c r="F71" s="8"/>
    </row>
    <row r="72" customFormat="false" ht="29.25" hidden="false" customHeight="true" outlineLevel="0" collapsed="false">
      <c r="A72" s="4" t="s">
        <v>467</v>
      </c>
      <c r="B72" s="8" t="s">
        <v>468</v>
      </c>
      <c r="C72" s="8" t="s">
        <v>469</v>
      </c>
      <c r="D72" s="8" t="s">
        <v>470</v>
      </c>
      <c r="E72" s="8"/>
      <c r="F72" s="8"/>
    </row>
    <row r="73" customFormat="false" ht="29.25" hidden="false" customHeight="true" outlineLevel="0" collapsed="false">
      <c r="A73" s="4" t="s">
        <v>471</v>
      </c>
      <c r="B73" s="8" t="s">
        <v>472</v>
      </c>
      <c r="C73" s="8" t="s">
        <v>473</v>
      </c>
      <c r="D73" s="8" t="s">
        <v>474</v>
      </c>
      <c r="E73" s="8"/>
      <c r="F73" s="8"/>
    </row>
    <row r="75" customFormat="false" ht="15" hidden="false" customHeight="false" outlineLevel="0" collapsed="false">
      <c r="A75" s="3" t="s">
        <v>475</v>
      </c>
    </row>
    <row r="76" customFormat="false" ht="15" hidden="false" customHeight="false" outlineLevel="0" collapsed="false">
      <c r="A76" s="6" t="s">
        <v>434</v>
      </c>
      <c r="B76" s="6" t="s">
        <v>476</v>
      </c>
      <c r="C76" s="6"/>
      <c r="D76" s="6"/>
      <c r="E76" s="6"/>
      <c r="F76" s="6" t="s">
        <v>296</v>
      </c>
    </row>
    <row r="77" customFormat="false" ht="29.25" hidden="false" customHeight="true" outlineLevel="0" collapsed="false">
      <c r="A77" s="4" t="s">
        <v>477</v>
      </c>
      <c r="B77" s="8" t="s">
        <v>478</v>
      </c>
      <c r="C77" s="8"/>
      <c r="D77" s="8"/>
      <c r="E77" s="8"/>
      <c r="F77" s="8" t="s">
        <v>479</v>
      </c>
    </row>
    <row r="78" customFormat="false" ht="42" hidden="false" customHeight="true" outlineLevel="0" collapsed="false">
      <c r="A78" s="4" t="s">
        <v>159</v>
      </c>
      <c r="B78" s="8" t="s">
        <v>480</v>
      </c>
      <c r="C78" s="8"/>
      <c r="D78" s="8"/>
      <c r="E78" s="8"/>
      <c r="F78" s="8" t="s">
        <v>158</v>
      </c>
    </row>
    <row r="79" customFormat="false" ht="42" hidden="false" customHeight="true" outlineLevel="0" collapsed="false">
      <c r="A79" s="4" t="s">
        <v>481</v>
      </c>
      <c r="B79" s="8" t="s">
        <v>482</v>
      </c>
      <c r="C79" s="8"/>
      <c r="D79" s="8"/>
      <c r="E79" s="8"/>
      <c r="F79" s="8" t="s">
        <v>483</v>
      </c>
    </row>
    <row r="80" customFormat="false" ht="29.25" hidden="false" customHeight="true" outlineLevel="0" collapsed="false">
      <c r="A80" s="4" t="s">
        <v>484</v>
      </c>
      <c r="B80" s="8" t="s">
        <v>485</v>
      </c>
      <c r="C80" s="8"/>
      <c r="D80" s="8"/>
      <c r="E80" s="8"/>
      <c r="F80" s="8" t="s">
        <v>486</v>
      </c>
    </row>
    <row r="81" customFormat="false" ht="29.25" hidden="false" customHeight="true" outlineLevel="0" collapsed="false">
      <c r="A81" s="4" t="s">
        <v>487</v>
      </c>
      <c r="B81" s="8" t="s">
        <v>488</v>
      </c>
      <c r="C81" s="8"/>
      <c r="D81" s="8"/>
      <c r="E81" s="8"/>
      <c r="F81" s="8"/>
    </row>
    <row r="82" customFormat="false" ht="42" hidden="false" customHeight="true" outlineLevel="0" collapsed="false">
      <c r="A82" s="4" t="s">
        <v>489</v>
      </c>
      <c r="B82" s="8" t="s">
        <v>490</v>
      </c>
      <c r="C82" s="8"/>
      <c r="D82" s="8"/>
      <c r="E82" s="8"/>
      <c r="F82" s="8" t="s">
        <v>491</v>
      </c>
    </row>
    <row r="83" customFormat="false" ht="42" hidden="false" customHeight="true" outlineLevel="0" collapsed="false">
      <c r="A83" s="4" t="s">
        <v>492</v>
      </c>
      <c r="B83" s="8" t="s">
        <v>493</v>
      </c>
      <c r="C83" s="8"/>
      <c r="D83" s="8"/>
      <c r="E83" s="8"/>
      <c r="F83" s="8" t="s">
        <v>494</v>
      </c>
    </row>
    <row r="85" customFormat="false" ht="15" hidden="false" customHeight="false" outlineLevel="0" collapsed="false">
      <c r="A85" s="3" t="s">
        <v>495</v>
      </c>
    </row>
    <row r="86" customFormat="false" ht="15" hidden="false" customHeight="false" outlineLevel="0" collapsed="false">
      <c r="A86" s="6" t="s">
        <v>58</v>
      </c>
      <c r="B86" s="6" t="s">
        <v>230</v>
      </c>
      <c r="C86" s="6" t="s">
        <v>231</v>
      </c>
      <c r="D86" s="6" t="s">
        <v>232</v>
      </c>
      <c r="E86" s="6" t="s">
        <v>233</v>
      </c>
      <c r="F86" s="6" t="s">
        <v>234</v>
      </c>
    </row>
    <row r="87" customFormat="false" ht="29.25" hidden="false" customHeight="true" outlineLevel="0" collapsed="false">
      <c r="A87" s="4" t="s">
        <v>496</v>
      </c>
      <c r="B87" s="8" t="s">
        <v>497</v>
      </c>
      <c r="C87" s="8" t="s">
        <v>498</v>
      </c>
      <c r="D87" s="8" t="s">
        <v>499</v>
      </c>
      <c r="E87" s="8" t="s">
        <v>500</v>
      </c>
      <c r="F87" s="8" t="s">
        <v>501</v>
      </c>
    </row>
    <row r="88" customFormat="false" ht="29.25" hidden="false" customHeight="true" outlineLevel="0" collapsed="false">
      <c r="A88" s="4" t="s">
        <v>502</v>
      </c>
      <c r="B88" s="8" t="s">
        <v>497</v>
      </c>
      <c r="C88" s="8" t="s">
        <v>503</v>
      </c>
      <c r="D88" s="8" t="s">
        <v>504</v>
      </c>
      <c r="E88" s="8" t="s">
        <v>505</v>
      </c>
      <c r="F88" s="8" t="s">
        <v>506</v>
      </c>
    </row>
    <row r="89" customFormat="false" ht="29.25" hidden="false" customHeight="true" outlineLevel="0" collapsed="false">
      <c r="A89" s="4" t="s">
        <v>507</v>
      </c>
      <c r="B89" s="8" t="s">
        <v>497</v>
      </c>
      <c r="C89" s="8" t="s">
        <v>508</v>
      </c>
      <c r="D89" s="8" t="s">
        <v>509</v>
      </c>
      <c r="E89" s="8" t="s">
        <v>500</v>
      </c>
      <c r="F89" s="8" t="s">
        <v>510</v>
      </c>
    </row>
    <row r="90" customFormat="false" ht="29.25" hidden="false" customHeight="true" outlineLevel="0" collapsed="false">
      <c r="A90" s="4" t="s">
        <v>511</v>
      </c>
      <c r="B90" s="8" t="s">
        <v>497</v>
      </c>
      <c r="C90" s="8" t="s">
        <v>512</v>
      </c>
      <c r="D90" s="8" t="s">
        <v>513</v>
      </c>
      <c r="E90" s="8" t="s">
        <v>500</v>
      </c>
      <c r="F90" s="8" t="s">
        <v>514</v>
      </c>
    </row>
    <row r="92" customFormat="false" ht="15" hidden="false" customHeight="false" outlineLevel="0" collapsed="false">
      <c r="A92" s="3" t="s">
        <v>515</v>
      </c>
    </row>
    <row r="93" customFormat="false" ht="15" hidden="false" customHeight="false" outlineLevel="0" collapsed="false">
      <c r="A93" s="6" t="s">
        <v>58</v>
      </c>
      <c r="B93" s="6" t="s">
        <v>516</v>
      </c>
      <c r="C93" s="6" t="s">
        <v>294</v>
      </c>
      <c r="D93" s="6" t="s">
        <v>517</v>
      </c>
      <c r="E93" s="6" t="s">
        <v>518</v>
      </c>
      <c r="F93" s="6" t="s">
        <v>296</v>
      </c>
    </row>
    <row r="94" customFormat="false" ht="54.75" hidden="false" customHeight="true" outlineLevel="0" collapsed="false">
      <c r="A94" s="4" t="s">
        <v>519</v>
      </c>
      <c r="B94" s="8" t="s">
        <v>520</v>
      </c>
      <c r="C94" s="8" t="s">
        <v>521</v>
      </c>
      <c r="D94" s="8" t="s">
        <v>261</v>
      </c>
      <c r="E94" s="8" t="s">
        <v>522</v>
      </c>
      <c r="F94" s="8" t="s">
        <v>523</v>
      </c>
    </row>
    <row r="95" customFormat="false" ht="42" hidden="false" customHeight="true" outlineLevel="0" collapsed="false">
      <c r="A95" s="4" t="s">
        <v>524</v>
      </c>
      <c r="B95" s="8" t="s">
        <v>525</v>
      </c>
      <c r="C95" s="8" t="s">
        <v>526</v>
      </c>
      <c r="D95" s="8" t="s">
        <v>261</v>
      </c>
      <c r="E95" s="8" t="s">
        <v>527</v>
      </c>
      <c r="F95" s="8" t="s">
        <v>528</v>
      </c>
    </row>
    <row r="96" customFormat="false" ht="29.25" hidden="false" customHeight="true" outlineLevel="0" collapsed="false">
      <c r="A96" s="4" t="s">
        <v>529</v>
      </c>
      <c r="B96" s="8" t="s">
        <v>530</v>
      </c>
      <c r="C96" s="8" t="s">
        <v>531</v>
      </c>
      <c r="D96" s="8" t="s">
        <v>261</v>
      </c>
      <c r="E96" s="8" t="s">
        <v>532</v>
      </c>
      <c r="F96" s="8" t="s">
        <v>533</v>
      </c>
    </row>
    <row r="97" customFormat="false" ht="29.25" hidden="false" customHeight="true" outlineLevel="0" collapsed="false">
      <c r="A97" s="4" t="s">
        <v>534</v>
      </c>
      <c r="B97" s="8" t="s">
        <v>535</v>
      </c>
      <c r="C97" s="8" t="s">
        <v>536</v>
      </c>
      <c r="D97" s="8" t="s">
        <v>267</v>
      </c>
      <c r="E97" s="8" t="s">
        <v>537</v>
      </c>
      <c r="F97" s="8" t="s">
        <v>538</v>
      </c>
    </row>
    <row r="99" customFormat="false" ht="15" hidden="false" customHeight="false" outlineLevel="0" collapsed="false">
      <c r="A99" s="3" t="s">
        <v>539</v>
      </c>
    </row>
    <row r="100" customFormat="false" ht="15" hidden="false" customHeight="false" outlineLevel="0" collapsed="false">
      <c r="A100" s="6" t="s">
        <v>58</v>
      </c>
      <c r="B100" s="6" t="s">
        <v>434</v>
      </c>
      <c r="C100" s="6" t="s">
        <v>476</v>
      </c>
      <c r="D100" s="6" t="s">
        <v>540</v>
      </c>
      <c r="E100" s="6" t="s">
        <v>541</v>
      </c>
      <c r="F100" s="6" t="s">
        <v>296</v>
      </c>
    </row>
    <row r="101" customFormat="false" ht="42" hidden="false" customHeight="true" outlineLevel="0" collapsed="false">
      <c r="A101" s="4" t="s">
        <v>542</v>
      </c>
      <c r="B101" s="8" t="s">
        <v>543</v>
      </c>
      <c r="C101" s="8" t="s">
        <v>544</v>
      </c>
      <c r="D101" s="8" t="s">
        <v>545</v>
      </c>
      <c r="E101" s="8" t="s">
        <v>546</v>
      </c>
      <c r="F101" s="8" t="s">
        <v>547</v>
      </c>
    </row>
    <row r="102" customFormat="false" ht="16.5" hidden="false" customHeight="true" outlineLevel="0" collapsed="false">
      <c r="A102" s="4" t="s">
        <v>548</v>
      </c>
      <c r="B102" s="8" t="s">
        <v>549</v>
      </c>
      <c r="C102" s="8" t="s">
        <v>550</v>
      </c>
      <c r="D102" s="8" t="s">
        <v>551</v>
      </c>
      <c r="E102" s="8" t="s">
        <v>552</v>
      </c>
      <c r="F102" s="8" t="s">
        <v>553</v>
      </c>
    </row>
    <row r="103" customFormat="false" ht="29.25" hidden="false" customHeight="true" outlineLevel="0" collapsed="false">
      <c r="A103" s="4" t="s">
        <v>554</v>
      </c>
      <c r="B103" s="8" t="s">
        <v>555</v>
      </c>
      <c r="C103" s="8" t="s">
        <v>556</v>
      </c>
      <c r="D103" s="8" t="s">
        <v>557</v>
      </c>
      <c r="E103" s="8"/>
      <c r="F103" s="8" t="s">
        <v>182</v>
      </c>
    </row>
    <row r="104" customFormat="false" ht="16.5" hidden="false" customHeight="true" outlineLevel="0" collapsed="false">
      <c r="A104" s="4" t="s">
        <v>558</v>
      </c>
      <c r="B104" s="8" t="s">
        <v>559</v>
      </c>
      <c r="C104" s="8" t="s">
        <v>560</v>
      </c>
      <c r="D104" s="8" t="s">
        <v>561</v>
      </c>
      <c r="E104" s="8"/>
      <c r="F104" s="8" t="s">
        <v>179</v>
      </c>
    </row>
    <row r="105" customFormat="false" ht="29.25" hidden="false" customHeight="true" outlineLevel="0" collapsed="false">
      <c r="A105" s="4" t="s">
        <v>562</v>
      </c>
      <c r="B105" s="8" t="s">
        <v>563</v>
      </c>
      <c r="C105" s="8" t="s">
        <v>564</v>
      </c>
      <c r="D105" s="8" t="s">
        <v>565</v>
      </c>
      <c r="E105" s="8"/>
      <c r="F105" s="8" t="s">
        <v>176</v>
      </c>
    </row>
    <row r="106" customFormat="false" ht="29.25" hidden="false" customHeight="true" outlineLevel="0" collapsed="false">
      <c r="A106" s="4" t="s">
        <v>566</v>
      </c>
      <c r="B106" s="8" t="s">
        <v>567</v>
      </c>
      <c r="C106" s="8" t="s">
        <v>568</v>
      </c>
      <c r="D106" s="8" t="s">
        <v>569</v>
      </c>
      <c r="E106" s="8"/>
      <c r="F106" s="8"/>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4"/>
    <col collapsed="false" customWidth="true" hidden="false" outlineLevel="0" max="4" min="4" style="0" width="46"/>
    <col collapsed="false" customWidth="true" hidden="false" outlineLevel="0" max="5" min="5" style="0" width="20"/>
  </cols>
  <sheetData>
    <row r="1" customFormat="false" ht="17.35" hidden="false" customHeight="false" outlineLevel="0" collapsed="false">
      <c r="A1" s="1" t="s">
        <v>570</v>
      </c>
    </row>
    <row r="2" customFormat="false" ht="30" hidden="false" customHeight="true" outlineLevel="0" collapsed="false">
      <c r="A2" s="11" t="s">
        <v>571</v>
      </c>
      <c r="B2" s="11"/>
      <c r="C2" s="11"/>
      <c r="D2" s="11"/>
      <c r="E2" s="11"/>
    </row>
    <row r="4" customFormat="false" ht="15" hidden="false" customHeight="false" outlineLevel="0" collapsed="false">
      <c r="A4" s="6" t="s">
        <v>572</v>
      </c>
      <c r="B4" s="6" t="s">
        <v>373</v>
      </c>
      <c r="C4" s="6" t="s">
        <v>573</v>
      </c>
      <c r="D4" s="6" t="s">
        <v>574</v>
      </c>
      <c r="E4" s="6" t="s">
        <v>575</v>
      </c>
    </row>
    <row r="5" customFormat="false" ht="15" hidden="false" customHeight="false" outlineLevel="0" collapsed="false">
      <c r="A5" s="7" t="s">
        <v>576</v>
      </c>
      <c r="B5" s="8" t="s">
        <v>577</v>
      </c>
      <c r="C5" s="8" t="s">
        <v>578</v>
      </c>
      <c r="D5" s="8" t="s">
        <v>579</v>
      </c>
      <c r="E5" s="8" t="s">
        <v>580</v>
      </c>
    </row>
    <row r="6" customFormat="false" ht="15" hidden="false" customHeight="false" outlineLevel="0" collapsed="false">
      <c r="A6" s="7" t="s">
        <v>581</v>
      </c>
      <c r="B6" s="8" t="s">
        <v>582</v>
      </c>
      <c r="C6" s="8" t="s">
        <v>583</v>
      </c>
      <c r="D6" s="8" t="s">
        <v>579</v>
      </c>
      <c r="E6" s="8" t="s">
        <v>580</v>
      </c>
    </row>
    <row r="7" customFormat="false" ht="15" hidden="false" customHeight="false" outlineLevel="0" collapsed="false">
      <c r="A7" s="7" t="s">
        <v>584</v>
      </c>
      <c r="B7" s="8" t="s">
        <v>582</v>
      </c>
      <c r="C7" s="8" t="s">
        <v>585</v>
      </c>
      <c r="D7" s="8" t="s">
        <v>586</v>
      </c>
      <c r="E7" s="8" t="s">
        <v>580</v>
      </c>
    </row>
    <row r="8" customFormat="false" ht="15" hidden="false" customHeight="false" outlineLevel="0" collapsed="false">
      <c r="A8" s="7" t="s">
        <v>587</v>
      </c>
      <c r="B8" s="8" t="s">
        <v>577</v>
      </c>
      <c r="C8" s="8" t="s">
        <v>588</v>
      </c>
      <c r="D8" s="8" t="s">
        <v>589</v>
      </c>
      <c r="E8" s="8" t="s">
        <v>580</v>
      </c>
    </row>
    <row r="9" customFormat="false" ht="15" hidden="false" customHeight="false" outlineLevel="0" collapsed="false">
      <c r="A9" s="7" t="s">
        <v>590</v>
      </c>
      <c r="B9" s="8" t="s">
        <v>577</v>
      </c>
      <c r="C9" s="8" t="s">
        <v>591</v>
      </c>
      <c r="D9" s="8" t="s">
        <v>592</v>
      </c>
      <c r="E9" s="8" t="s">
        <v>580</v>
      </c>
    </row>
    <row r="10" customFormat="false" ht="15" hidden="false" customHeight="false" outlineLevel="0" collapsed="false">
      <c r="A10" s="7" t="s">
        <v>593</v>
      </c>
      <c r="B10" s="8" t="s">
        <v>594</v>
      </c>
      <c r="C10" s="8" t="s">
        <v>595</v>
      </c>
      <c r="D10" s="8" t="s">
        <v>596</v>
      </c>
      <c r="E10" s="8" t="s">
        <v>597</v>
      </c>
    </row>
    <row r="11" customFormat="false" ht="15" hidden="false" customHeight="false" outlineLevel="0" collapsed="false">
      <c r="A11" s="7" t="s">
        <v>598</v>
      </c>
      <c r="B11" s="8" t="s">
        <v>577</v>
      </c>
      <c r="C11" s="8" t="s">
        <v>599</v>
      </c>
      <c r="D11" s="8" t="s">
        <v>600</v>
      </c>
      <c r="E11" s="8" t="s">
        <v>580</v>
      </c>
    </row>
    <row r="12" customFormat="false" ht="15" hidden="false" customHeight="false" outlineLevel="0" collapsed="false">
      <c r="A12" s="7" t="s">
        <v>601</v>
      </c>
      <c r="B12" s="8" t="s">
        <v>577</v>
      </c>
      <c r="C12" s="8" t="s">
        <v>602</v>
      </c>
      <c r="D12" s="8" t="s">
        <v>603</v>
      </c>
      <c r="E12" s="8" t="s">
        <v>580</v>
      </c>
    </row>
    <row r="13" customFormat="false" ht="15" hidden="false" customHeight="false" outlineLevel="0" collapsed="false">
      <c r="A13" s="7" t="s">
        <v>604</v>
      </c>
      <c r="B13" s="8" t="s">
        <v>577</v>
      </c>
      <c r="C13" s="8" t="s">
        <v>605</v>
      </c>
      <c r="D13" s="8" t="s">
        <v>606</v>
      </c>
      <c r="E13" s="8" t="s">
        <v>580</v>
      </c>
    </row>
    <row r="14" customFormat="false" ht="15" hidden="false" customHeight="false" outlineLevel="0" collapsed="false">
      <c r="A14" s="7" t="s">
        <v>607</v>
      </c>
      <c r="B14" s="8" t="s">
        <v>577</v>
      </c>
      <c r="C14" s="8" t="s">
        <v>608</v>
      </c>
      <c r="D14" s="8" t="s">
        <v>609</v>
      </c>
      <c r="E14" s="8" t="s">
        <v>610</v>
      </c>
    </row>
    <row r="15" customFormat="false" ht="15" hidden="false" customHeight="false" outlineLevel="0" collapsed="false">
      <c r="A15" s="7" t="s">
        <v>611</v>
      </c>
      <c r="B15" s="8" t="s">
        <v>612</v>
      </c>
      <c r="C15" s="8" t="s">
        <v>613</v>
      </c>
      <c r="D15" s="8" t="s">
        <v>614</v>
      </c>
      <c r="E15" s="8" t="s">
        <v>610</v>
      </c>
    </row>
    <row r="16" customFormat="false" ht="15" hidden="false" customHeight="false" outlineLevel="0" collapsed="false">
      <c r="A16" s="7" t="s">
        <v>615</v>
      </c>
      <c r="B16" s="8" t="s">
        <v>616</v>
      </c>
      <c r="C16" s="8" t="s">
        <v>617</v>
      </c>
      <c r="D16" s="8" t="s">
        <v>618</v>
      </c>
      <c r="E16" s="8" t="s">
        <v>610</v>
      </c>
    </row>
    <row r="17" customFormat="false" ht="15" hidden="false" customHeight="false" outlineLevel="0" collapsed="false">
      <c r="A17" s="7" t="s">
        <v>619</v>
      </c>
      <c r="B17" s="8" t="s">
        <v>620</v>
      </c>
      <c r="C17" s="8" t="s">
        <v>617</v>
      </c>
      <c r="D17" s="8" t="s">
        <v>621</v>
      </c>
      <c r="E17" s="8" t="s">
        <v>610</v>
      </c>
    </row>
    <row r="18" customFormat="false" ht="15" hidden="false" customHeight="false" outlineLevel="0" collapsed="false">
      <c r="A18" s="7" t="s">
        <v>622</v>
      </c>
      <c r="B18" s="8" t="s">
        <v>577</v>
      </c>
      <c r="C18" s="8" t="s">
        <v>623</v>
      </c>
      <c r="D18" s="8" t="s">
        <v>624</v>
      </c>
      <c r="E18" s="8" t="s">
        <v>580</v>
      </c>
    </row>
    <row r="19" customFormat="false" ht="15" hidden="false" customHeight="false" outlineLevel="0" collapsed="false">
      <c r="A19" s="7" t="s">
        <v>625</v>
      </c>
      <c r="B19" s="8" t="s">
        <v>582</v>
      </c>
      <c r="C19" s="8" t="s">
        <v>617</v>
      </c>
      <c r="D19" s="8" t="s">
        <v>626</v>
      </c>
      <c r="E19" s="8" t="s">
        <v>580</v>
      </c>
    </row>
    <row r="20" customFormat="false" ht="23.85" hidden="false" customHeight="false" outlineLevel="0" collapsed="false">
      <c r="A20" s="7" t="s">
        <v>627</v>
      </c>
      <c r="B20" s="8" t="s">
        <v>628</v>
      </c>
      <c r="C20" s="8" t="s">
        <v>629</v>
      </c>
      <c r="D20" s="8" t="s">
        <v>630</v>
      </c>
      <c r="E20" s="8" t="s">
        <v>580</v>
      </c>
    </row>
    <row r="21" customFormat="false" ht="15" hidden="false" customHeight="false" outlineLevel="0" collapsed="false">
      <c r="A21" s="7" t="s">
        <v>631</v>
      </c>
      <c r="B21" s="8" t="s">
        <v>628</v>
      </c>
      <c r="C21" s="8" t="s">
        <v>632</v>
      </c>
      <c r="D21" s="8" t="s">
        <v>633</v>
      </c>
      <c r="E21" s="8" t="s">
        <v>580</v>
      </c>
    </row>
    <row r="22" customFormat="false" ht="15" hidden="false" customHeight="false" outlineLevel="0" collapsed="false">
      <c r="A22" s="7" t="s">
        <v>634</v>
      </c>
      <c r="B22" s="8" t="s">
        <v>577</v>
      </c>
      <c r="C22" s="8" t="s">
        <v>635</v>
      </c>
      <c r="D22" s="8" t="s">
        <v>636</v>
      </c>
      <c r="E22" s="8" t="s">
        <v>580</v>
      </c>
    </row>
    <row r="23" customFormat="false" ht="46.25" hidden="false" customHeight="false" outlineLevel="0" collapsed="false">
      <c r="A23" s="7" t="s">
        <v>637</v>
      </c>
      <c r="B23" s="8" t="s">
        <v>638</v>
      </c>
      <c r="C23" s="8" t="s">
        <v>639</v>
      </c>
      <c r="D23" s="8" t="s">
        <v>640</v>
      </c>
      <c r="E23" s="8" t="s">
        <v>641</v>
      </c>
    </row>
    <row r="24" customFormat="false" ht="23.85" hidden="false" customHeight="false" outlineLevel="0" collapsed="false">
      <c r="A24" s="7" t="s">
        <v>642</v>
      </c>
      <c r="B24" s="8" t="s">
        <v>582</v>
      </c>
      <c r="C24" s="8" t="s">
        <v>643</v>
      </c>
      <c r="D24" s="8" t="s">
        <v>644</v>
      </c>
      <c r="E24" s="8" t="s">
        <v>580</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645</v>
      </c>
      <c r="B1" s="6" t="s">
        <v>646</v>
      </c>
      <c r="C1" s="6" t="s">
        <v>647</v>
      </c>
      <c r="D1" s="6" t="s">
        <v>648</v>
      </c>
      <c r="E1" s="6" t="s">
        <v>649</v>
      </c>
      <c r="F1" s="6" t="s">
        <v>650</v>
      </c>
      <c r="G1" s="6" t="s">
        <v>651</v>
      </c>
      <c r="H1" s="6" t="s">
        <v>652</v>
      </c>
      <c r="I1" s="6" t="s">
        <v>653</v>
      </c>
      <c r="J1" s="6" t="s">
        <v>654</v>
      </c>
      <c r="K1" s="6" t="s">
        <v>655</v>
      </c>
      <c r="L1" s="6" t="s">
        <v>656</v>
      </c>
      <c r="M1" s="6" t="s">
        <v>657</v>
      </c>
    </row>
    <row r="2" customFormat="false" ht="54.75" hidden="false" customHeight="true" outlineLevel="0" collapsed="false">
      <c r="A2" s="7" t="s">
        <v>658</v>
      </c>
      <c r="B2" s="8" t="s">
        <v>659</v>
      </c>
      <c r="C2" s="8" t="s">
        <v>660</v>
      </c>
      <c r="D2" s="8" t="s">
        <v>45</v>
      </c>
      <c r="E2" s="8" t="s">
        <v>661</v>
      </c>
      <c r="F2" s="8" t="s">
        <v>662</v>
      </c>
      <c r="G2" s="8" t="s">
        <v>663</v>
      </c>
      <c r="H2" s="8"/>
      <c r="I2" s="8" t="s">
        <v>664</v>
      </c>
      <c r="J2" s="8" t="s">
        <v>62</v>
      </c>
      <c r="K2" s="5"/>
      <c r="L2" s="5" t="s">
        <v>14</v>
      </c>
      <c r="M2" s="5"/>
    </row>
    <row r="3" customFormat="false" ht="54.75" hidden="false" customHeight="true" outlineLevel="0" collapsed="false">
      <c r="A3" s="7" t="s">
        <v>665</v>
      </c>
      <c r="B3" s="8" t="s">
        <v>659</v>
      </c>
      <c r="C3" s="8" t="s">
        <v>666</v>
      </c>
      <c r="D3" s="8" t="s">
        <v>43</v>
      </c>
      <c r="E3" s="8" t="s">
        <v>661</v>
      </c>
      <c r="F3" s="8" t="s">
        <v>662</v>
      </c>
      <c r="G3" s="8" t="s">
        <v>667</v>
      </c>
      <c r="H3" s="8" t="s">
        <v>668</v>
      </c>
      <c r="I3" s="8" t="s">
        <v>669</v>
      </c>
      <c r="J3" s="8"/>
      <c r="K3" s="5"/>
      <c r="L3" s="5" t="s">
        <v>14</v>
      </c>
      <c r="M3" s="5"/>
    </row>
    <row r="4" customFormat="false" ht="29.25" hidden="false" customHeight="true" outlineLevel="0" collapsed="false">
      <c r="A4" s="7" t="s">
        <v>670</v>
      </c>
      <c r="B4" s="8" t="s">
        <v>659</v>
      </c>
      <c r="C4" s="8" t="s">
        <v>671</v>
      </c>
      <c r="D4" s="8" t="s">
        <v>37</v>
      </c>
      <c r="E4" s="8" t="s">
        <v>661</v>
      </c>
      <c r="F4" s="8" t="s">
        <v>662</v>
      </c>
      <c r="G4" s="8" t="s">
        <v>672</v>
      </c>
      <c r="H4" s="8" t="s">
        <v>673</v>
      </c>
      <c r="I4" s="8" t="s">
        <v>674</v>
      </c>
      <c r="J4" s="8"/>
      <c r="K4" s="5"/>
      <c r="L4" s="5" t="s">
        <v>14</v>
      </c>
      <c r="M4" s="5"/>
    </row>
    <row r="5" customFormat="false" ht="42" hidden="false" customHeight="true" outlineLevel="0" collapsed="false">
      <c r="A5" s="7" t="s">
        <v>675</v>
      </c>
      <c r="B5" s="8" t="s">
        <v>659</v>
      </c>
      <c r="C5" s="8" t="s">
        <v>676</v>
      </c>
      <c r="D5" s="8" t="s">
        <v>39</v>
      </c>
      <c r="E5" s="8" t="s">
        <v>677</v>
      </c>
      <c r="F5" s="8" t="s">
        <v>662</v>
      </c>
      <c r="G5" s="8" t="s">
        <v>678</v>
      </c>
      <c r="H5" s="8"/>
      <c r="I5" s="8" t="s">
        <v>679</v>
      </c>
      <c r="J5" s="8"/>
      <c r="K5" s="5"/>
      <c r="L5" s="5" t="s">
        <v>14</v>
      </c>
      <c r="M5" s="5"/>
    </row>
    <row r="6" customFormat="false" ht="54.75" hidden="false" customHeight="true" outlineLevel="0" collapsed="false">
      <c r="A6" s="7" t="s">
        <v>680</v>
      </c>
      <c r="B6" s="8" t="s">
        <v>659</v>
      </c>
      <c r="C6" s="8" t="s">
        <v>681</v>
      </c>
      <c r="D6" s="8" t="s">
        <v>39</v>
      </c>
      <c r="E6" s="8" t="s">
        <v>661</v>
      </c>
      <c r="F6" s="8" t="s">
        <v>662</v>
      </c>
      <c r="G6" s="8" t="s">
        <v>682</v>
      </c>
      <c r="H6" s="8" t="s">
        <v>683</v>
      </c>
      <c r="I6" s="8" t="s">
        <v>684</v>
      </c>
      <c r="J6" s="8" t="s">
        <v>107</v>
      </c>
      <c r="K6" s="5"/>
      <c r="L6" s="5" t="s">
        <v>14</v>
      </c>
      <c r="M6" s="5"/>
    </row>
    <row r="7" customFormat="false" ht="42" hidden="false" customHeight="true" outlineLevel="0" collapsed="false">
      <c r="A7" s="7" t="s">
        <v>685</v>
      </c>
      <c r="B7" s="8" t="s">
        <v>659</v>
      </c>
      <c r="C7" s="8" t="s">
        <v>686</v>
      </c>
      <c r="D7" s="8" t="s">
        <v>43</v>
      </c>
      <c r="E7" s="8" t="s">
        <v>677</v>
      </c>
      <c r="F7" s="8" t="s">
        <v>687</v>
      </c>
      <c r="G7" s="8" t="s">
        <v>688</v>
      </c>
      <c r="H7" s="8"/>
      <c r="I7" s="8" t="s">
        <v>689</v>
      </c>
      <c r="J7" s="8" t="s">
        <v>101</v>
      </c>
      <c r="K7" s="5"/>
      <c r="L7" s="5" t="s">
        <v>14</v>
      </c>
      <c r="M7" s="5"/>
    </row>
    <row r="8" customFormat="false" ht="42" hidden="false" customHeight="true" outlineLevel="0" collapsed="false">
      <c r="A8" s="7" t="s">
        <v>690</v>
      </c>
      <c r="B8" s="8" t="s">
        <v>659</v>
      </c>
      <c r="C8" s="8" t="s">
        <v>691</v>
      </c>
      <c r="D8" s="8" t="s">
        <v>47</v>
      </c>
      <c r="E8" s="8" t="s">
        <v>677</v>
      </c>
      <c r="F8" s="8" t="s">
        <v>662</v>
      </c>
      <c r="G8" s="8" t="s">
        <v>692</v>
      </c>
      <c r="H8" s="8"/>
      <c r="I8" s="8" t="s">
        <v>693</v>
      </c>
      <c r="J8" s="8" t="s">
        <v>125</v>
      </c>
      <c r="K8" s="5"/>
      <c r="L8" s="5" t="s">
        <v>14</v>
      </c>
      <c r="M8" s="5"/>
    </row>
    <row r="9" customFormat="false" ht="54.75" hidden="false" customHeight="true" outlineLevel="0" collapsed="false">
      <c r="A9" s="7" t="s">
        <v>694</v>
      </c>
      <c r="B9" s="8" t="s">
        <v>659</v>
      </c>
      <c r="C9" s="8" t="s">
        <v>695</v>
      </c>
      <c r="D9" s="8" t="s">
        <v>45</v>
      </c>
      <c r="E9" s="8" t="s">
        <v>661</v>
      </c>
      <c r="F9" s="8" t="s">
        <v>696</v>
      </c>
      <c r="G9" s="8" t="s">
        <v>697</v>
      </c>
      <c r="H9" s="8" t="s">
        <v>698</v>
      </c>
      <c r="I9" s="8" t="s">
        <v>699</v>
      </c>
      <c r="J9" s="8" t="s">
        <v>700</v>
      </c>
      <c r="K9" s="5"/>
      <c r="L9" s="5" t="s">
        <v>14</v>
      </c>
      <c r="M9" s="5"/>
    </row>
  </sheetData>
  <autoFilter ref="A1:M9"/>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645</v>
      </c>
      <c r="B1" s="6" t="s">
        <v>646</v>
      </c>
      <c r="C1" s="6" t="s">
        <v>647</v>
      </c>
      <c r="D1" s="6" t="s">
        <v>648</v>
      </c>
      <c r="E1" s="6" t="s">
        <v>649</v>
      </c>
      <c r="F1" s="6" t="s">
        <v>650</v>
      </c>
      <c r="G1" s="6" t="s">
        <v>651</v>
      </c>
      <c r="H1" s="6" t="s">
        <v>652</v>
      </c>
      <c r="I1" s="6" t="s">
        <v>653</v>
      </c>
      <c r="J1" s="6" t="s">
        <v>654</v>
      </c>
      <c r="K1" s="6" t="s">
        <v>655</v>
      </c>
      <c r="L1" s="6" t="s">
        <v>656</v>
      </c>
      <c r="M1" s="6" t="s">
        <v>657</v>
      </c>
    </row>
    <row r="2" customFormat="false" ht="67.5" hidden="false" customHeight="true" outlineLevel="0" collapsed="false">
      <c r="A2" s="7" t="s">
        <v>701</v>
      </c>
      <c r="B2" s="8" t="s">
        <v>702</v>
      </c>
      <c r="C2" s="8" t="s">
        <v>703</v>
      </c>
      <c r="D2" s="8" t="s">
        <v>43</v>
      </c>
      <c r="E2" s="8" t="s">
        <v>677</v>
      </c>
      <c r="F2" s="8" t="s">
        <v>704</v>
      </c>
      <c r="G2" s="8" t="s">
        <v>705</v>
      </c>
      <c r="H2" s="8"/>
      <c r="I2" s="8" t="s">
        <v>706</v>
      </c>
      <c r="J2" s="8" t="s">
        <v>101</v>
      </c>
      <c r="K2" s="5"/>
      <c r="L2" s="5" t="s">
        <v>14</v>
      </c>
      <c r="M2" s="5"/>
    </row>
    <row r="3" customFormat="false" ht="54.75" hidden="false" customHeight="true" outlineLevel="0" collapsed="false">
      <c r="A3" s="7" t="s">
        <v>707</v>
      </c>
      <c r="B3" s="8" t="s">
        <v>702</v>
      </c>
      <c r="C3" s="8" t="s">
        <v>708</v>
      </c>
      <c r="D3" s="8" t="s">
        <v>43</v>
      </c>
      <c r="E3" s="8" t="s">
        <v>677</v>
      </c>
      <c r="F3" s="8" t="s">
        <v>709</v>
      </c>
      <c r="G3" s="8" t="s">
        <v>710</v>
      </c>
      <c r="H3" s="8"/>
      <c r="I3" s="8" t="s">
        <v>711</v>
      </c>
      <c r="J3" s="8" t="s">
        <v>101</v>
      </c>
      <c r="K3" s="5"/>
      <c r="L3" s="5" t="s">
        <v>14</v>
      </c>
      <c r="M3" s="5"/>
    </row>
    <row r="4" customFormat="false" ht="42" hidden="false" customHeight="true" outlineLevel="0" collapsed="false">
      <c r="A4" s="7" t="s">
        <v>712</v>
      </c>
      <c r="B4" s="8" t="s">
        <v>702</v>
      </c>
      <c r="C4" s="8" t="s">
        <v>713</v>
      </c>
      <c r="D4" s="8" t="s">
        <v>43</v>
      </c>
      <c r="E4" s="8" t="s">
        <v>661</v>
      </c>
      <c r="F4" s="8" t="s">
        <v>714</v>
      </c>
      <c r="G4" s="8" t="s">
        <v>715</v>
      </c>
      <c r="H4" s="8"/>
      <c r="I4" s="8" t="s">
        <v>716</v>
      </c>
      <c r="J4" s="8" t="s">
        <v>101</v>
      </c>
      <c r="K4" s="5"/>
      <c r="L4" s="5" t="s">
        <v>14</v>
      </c>
      <c r="M4" s="5"/>
    </row>
    <row r="5" customFormat="false" ht="42" hidden="false" customHeight="true" outlineLevel="0" collapsed="false">
      <c r="A5" s="7" t="s">
        <v>717</v>
      </c>
      <c r="B5" s="8" t="s">
        <v>702</v>
      </c>
      <c r="C5" s="8" t="s">
        <v>718</v>
      </c>
      <c r="D5" s="8" t="s">
        <v>47</v>
      </c>
      <c r="E5" s="8" t="s">
        <v>719</v>
      </c>
      <c r="F5" s="8" t="s">
        <v>720</v>
      </c>
      <c r="G5" s="8" t="s">
        <v>721</v>
      </c>
      <c r="H5" s="8"/>
      <c r="I5" s="8" t="s">
        <v>722</v>
      </c>
      <c r="J5" s="8" t="s">
        <v>125</v>
      </c>
      <c r="K5" s="5"/>
      <c r="L5" s="5" t="s">
        <v>14</v>
      </c>
      <c r="M5" s="5"/>
    </row>
    <row r="6" customFormat="false" ht="80.25" hidden="false" customHeight="true" outlineLevel="0" collapsed="false">
      <c r="A6" s="7" t="s">
        <v>723</v>
      </c>
      <c r="B6" s="8" t="s">
        <v>702</v>
      </c>
      <c r="C6" s="8" t="s">
        <v>724</v>
      </c>
      <c r="D6" s="8" t="s">
        <v>37</v>
      </c>
      <c r="E6" s="8" t="s">
        <v>677</v>
      </c>
      <c r="F6" s="8" t="s">
        <v>725</v>
      </c>
      <c r="G6" s="8" t="s">
        <v>726</v>
      </c>
      <c r="H6" s="8"/>
      <c r="I6" s="8" t="s">
        <v>727</v>
      </c>
      <c r="J6" s="8" t="s">
        <v>728</v>
      </c>
      <c r="K6" s="5"/>
      <c r="L6" s="5" t="s">
        <v>14</v>
      </c>
      <c r="M6" s="5"/>
    </row>
    <row r="7" customFormat="false" ht="67.5" hidden="false" customHeight="true" outlineLevel="0" collapsed="false">
      <c r="A7" s="7" t="s">
        <v>729</v>
      </c>
      <c r="B7" s="8" t="s">
        <v>702</v>
      </c>
      <c r="C7" s="8" t="s">
        <v>730</v>
      </c>
      <c r="D7" s="8" t="s">
        <v>47</v>
      </c>
      <c r="E7" s="8" t="s">
        <v>661</v>
      </c>
      <c r="F7" s="8" t="s">
        <v>731</v>
      </c>
      <c r="G7" s="8" t="s">
        <v>732</v>
      </c>
      <c r="H7" s="8"/>
      <c r="I7" s="8" t="s">
        <v>733</v>
      </c>
      <c r="J7" s="8" t="s">
        <v>221</v>
      </c>
      <c r="K7" s="5"/>
      <c r="L7" s="5" t="s">
        <v>14</v>
      </c>
      <c r="M7" s="5"/>
    </row>
    <row r="8" customFormat="false" ht="54.75" hidden="false" customHeight="true" outlineLevel="0" collapsed="false">
      <c r="A8" s="7" t="s">
        <v>734</v>
      </c>
      <c r="B8" s="8" t="s">
        <v>702</v>
      </c>
      <c r="C8" s="8" t="s">
        <v>735</v>
      </c>
      <c r="D8" s="8" t="s">
        <v>43</v>
      </c>
      <c r="E8" s="8" t="s">
        <v>661</v>
      </c>
      <c r="F8" s="8" t="s">
        <v>736</v>
      </c>
      <c r="G8" s="8" t="s">
        <v>737</v>
      </c>
      <c r="H8" s="8"/>
      <c r="I8" s="8" t="s">
        <v>738</v>
      </c>
      <c r="J8" s="8" t="s">
        <v>221</v>
      </c>
      <c r="K8" s="5"/>
      <c r="L8" s="5" t="s">
        <v>14</v>
      </c>
      <c r="M8" s="5"/>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645</v>
      </c>
      <c r="B1" s="6" t="s">
        <v>646</v>
      </c>
      <c r="C1" s="6" t="s">
        <v>647</v>
      </c>
      <c r="D1" s="6" t="s">
        <v>648</v>
      </c>
      <c r="E1" s="6" t="s">
        <v>649</v>
      </c>
      <c r="F1" s="6" t="s">
        <v>650</v>
      </c>
      <c r="G1" s="6" t="s">
        <v>651</v>
      </c>
      <c r="H1" s="6" t="s">
        <v>652</v>
      </c>
      <c r="I1" s="6" t="s">
        <v>653</v>
      </c>
      <c r="J1" s="6" t="s">
        <v>654</v>
      </c>
      <c r="K1" s="6" t="s">
        <v>655</v>
      </c>
      <c r="L1" s="6" t="s">
        <v>656</v>
      </c>
      <c r="M1" s="6" t="s">
        <v>657</v>
      </c>
    </row>
    <row r="2" customFormat="false" ht="80.25" hidden="false" customHeight="true" outlineLevel="0" collapsed="false">
      <c r="A2" s="7" t="s">
        <v>739</v>
      </c>
      <c r="B2" s="8" t="s">
        <v>740</v>
      </c>
      <c r="C2" s="8" t="s">
        <v>741</v>
      </c>
      <c r="D2" s="8" t="s">
        <v>45</v>
      </c>
      <c r="E2" s="8" t="s">
        <v>677</v>
      </c>
      <c r="F2" s="8" t="s">
        <v>742</v>
      </c>
      <c r="G2" s="8" t="s">
        <v>743</v>
      </c>
      <c r="H2" s="8"/>
      <c r="I2" s="8" t="s">
        <v>744</v>
      </c>
      <c r="J2" s="8" t="s">
        <v>745</v>
      </c>
      <c r="K2" s="5"/>
      <c r="L2" s="5" t="s">
        <v>14</v>
      </c>
      <c r="M2" s="5"/>
    </row>
    <row r="3" customFormat="false" ht="42" hidden="false" customHeight="true" outlineLevel="0" collapsed="false">
      <c r="A3" s="7" t="s">
        <v>746</v>
      </c>
      <c r="B3" s="8" t="s">
        <v>740</v>
      </c>
      <c r="C3" s="8" t="s">
        <v>747</v>
      </c>
      <c r="D3" s="8" t="s">
        <v>45</v>
      </c>
      <c r="E3" s="8" t="s">
        <v>661</v>
      </c>
      <c r="F3" s="8" t="s">
        <v>748</v>
      </c>
      <c r="G3" s="8" t="s">
        <v>749</v>
      </c>
      <c r="H3" s="8"/>
      <c r="I3" s="8" t="s">
        <v>750</v>
      </c>
      <c r="J3" s="8" t="s">
        <v>101</v>
      </c>
      <c r="K3" s="5"/>
      <c r="L3" s="5" t="s">
        <v>14</v>
      </c>
      <c r="M3" s="5"/>
    </row>
    <row r="4" customFormat="false" ht="54.75" hidden="false" customHeight="true" outlineLevel="0" collapsed="false">
      <c r="A4" s="7" t="s">
        <v>751</v>
      </c>
      <c r="B4" s="8" t="s">
        <v>740</v>
      </c>
      <c r="C4" s="8" t="s">
        <v>752</v>
      </c>
      <c r="D4" s="8" t="s">
        <v>39</v>
      </c>
      <c r="E4" s="8" t="s">
        <v>677</v>
      </c>
      <c r="F4" s="8" t="s">
        <v>720</v>
      </c>
      <c r="G4" s="8" t="s">
        <v>753</v>
      </c>
      <c r="H4" s="8"/>
      <c r="I4" s="8" t="s">
        <v>754</v>
      </c>
      <c r="J4" s="8" t="s">
        <v>101</v>
      </c>
      <c r="K4" s="5"/>
      <c r="L4" s="5" t="s">
        <v>14</v>
      </c>
      <c r="M4" s="5"/>
    </row>
    <row r="5" customFormat="false" ht="54.75" hidden="false" customHeight="true" outlineLevel="0" collapsed="false">
      <c r="A5" s="7" t="s">
        <v>755</v>
      </c>
      <c r="B5" s="8" t="s">
        <v>740</v>
      </c>
      <c r="C5" s="8" t="s">
        <v>756</v>
      </c>
      <c r="D5" s="8" t="s">
        <v>43</v>
      </c>
      <c r="E5" s="8" t="s">
        <v>661</v>
      </c>
      <c r="F5" s="8" t="s">
        <v>757</v>
      </c>
      <c r="G5" s="8" t="s">
        <v>758</v>
      </c>
      <c r="H5" s="8"/>
      <c r="I5" s="8" t="s">
        <v>759</v>
      </c>
      <c r="J5" s="8" t="s">
        <v>101</v>
      </c>
      <c r="K5" s="5"/>
      <c r="L5" s="5" t="s">
        <v>14</v>
      </c>
      <c r="M5" s="5"/>
    </row>
    <row r="6" customFormat="false" ht="67.5" hidden="false" customHeight="true" outlineLevel="0" collapsed="false">
      <c r="A6" s="7" t="s">
        <v>760</v>
      </c>
      <c r="B6" s="8" t="s">
        <v>740</v>
      </c>
      <c r="C6" s="8" t="s">
        <v>761</v>
      </c>
      <c r="D6" s="8" t="s">
        <v>47</v>
      </c>
      <c r="E6" s="8" t="s">
        <v>677</v>
      </c>
      <c r="F6" s="8" t="s">
        <v>762</v>
      </c>
      <c r="G6" s="8" t="s">
        <v>763</v>
      </c>
      <c r="H6" s="8"/>
      <c r="I6" s="8" t="s">
        <v>764</v>
      </c>
      <c r="J6" s="8" t="s">
        <v>170</v>
      </c>
      <c r="K6" s="5"/>
      <c r="L6" s="5" t="s">
        <v>14</v>
      </c>
      <c r="M6" s="5"/>
    </row>
    <row r="7" customFormat="false" ht="42" hidden="false" customHeight="true" outlineLevel="0" collapsed="false">
      <c r="A7" s="7" t="s">
        <v>765</v>
      </c>
      <c r="B7" s="8" t="s">
        <v>740</v>
      </c>
      <c r="C7" s="8" t="s">
        <v>766</v>
      </c>
      <c r="D7" s="8" t="s">
        <v>39</v>
      </c>
      <c r="E7" s="8" t="s">
        <v>677</v>
      </c>
      <c r="F7" s="8" t="s">
        <v>767</v>
      </c>
      <c r="G7" s="8" t="s">
        <v>768</v>
      </c>
      <c r="H7" s="8"/>
      <c r="I7" s="8" t="s">
        <v>769</v>
      </c>
      <c r="J7" s="8" t="s">
        <v>101</v>
      </c>
      <c r="K7" s="5"/>
      <c r="L7" s="5" t="s">
        <v>14</v>
      </c>
      <c r="M7" s="5"/>
    </row>
    <row r="8" customFormat="false" ht="29.25" hidden="false" customHeight="true" outlineLevel="0" collapsed="false">
      <c r="A8" s="7" t="s">
        <v>770</v>
      </c>
      <c r="B8" s="8" t="s">
        <v>740</v>
      </c>
      <c r="C8" s="8" t="s">
        <v>771</v>
      </c>
      <c r="D8" s="8" t="s">
        <v>47</v>
      </c>
      <c r="E8" s="8" t="s">
        <v>677</v>
      </c>
      <c r="F8" s="8" t="s">
        <v>720</v>
      </c>
      <c r="G8" s="8" t="s">
        <v>772</v>
      </c>
      <c r="H8" s="8"/>
      <c r="I8" s="8" t="s">
        <v>773</v>
      </c>
      <c r="J8" s="8" t="s">
        <v>774</v>
      </c>
      <c r="K8" s="5"/>
      <c r="L8" s="5" t="s">
        <v>14</v>
      </c>
      <c r="M8" s="5"/>
    </row>
    <row r="9" customFormat="false" ht="67.5" hidden="false" customHeight="true" outlineLevel="0" collapsed="false">
      <c r="A9" s="7" t="s">
        <v>775</v>
      </c>
      <c r="B9" s="8" t="s">
        <v>740</v>
      </c>
      <c r="C9" s="8" t="s">
        <v>776</v>
      </c>
      <c r="D9" s="8" t="s">
        <v>43</v>
      </c>
      <c r="E9" s="8" t="s">
        <v>677</v>
      </c>
      <c r="F9" s="8" t="s">
        <v>777</v>
      </c>
      <c r="G9" s="8" t="s">
        <v>778</v>
      </c>
      <c r="H9" s="8"/>
      <c r="I9" s="8" t="s">
        <v>779</v>
      </c>
      <c r="J9" s="8" t="s">
        <v>780</v>
      </c>
      <c r="K9" s="5"/>
      <c r="L9" s="5" t="s">
        <v>14</v>
      </c>
      <c r="M9" s="5"/>
    </row>
    <row r="10" customFormat="false" ht="42" hidden="false" customHeight="true" outlineLevel="0" collapsed="false">
      <c r="A10" s="7" t="s">
        <v>781</v>
      </c>
      <c r="B10" s="8" t="s">
        <v>740</v>
      </c>
      <c r="C10" s="8" t="s">
        <v>782</v>
      </c>
      <c r="D10" s="8" t="s">
        <v>45</v>
      </c>
      <c r="E10" s="8" t="s">
        <v>661</v>
      </c>
      <c r="F10" s="8" t="s">
        <v>783</v>
      </c>
      <c r="G10" s="8" t="s">
        <v>784</v>
      </c>
      <c r="H10" s="8"/>
      <c r="I10" s="8" t="s">
        <v>785</v>
      </c>
      <c r="J10" s="8" t="s">
        <v>221</v>
      </c>
      <c r="K10" s="5"/>
      <c r="L10" s="5" t="s">
        <v>14</v>
      </c>
      <c r="M10" s="5"/>
    </row>
  </sheetData>
  <autoFilter ref="A1:M10"/>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645</v>
      </c>
      <c r="B1" s="6" t="s">
        <v>646</v>
      </c>
      <c r="C1" s="6" t="s">
        <v>647</v>
      </c>
      <c r="D1" s="6" t="s">
        <v>648</v>
      </c>
      <c r="E1" s="6" t="s">
        <v>649</v>
      </c>
      <c r="F1" s="6" t="s">
        <v>650</v>
      </c>
      <c r="G1" s="6" t="s">
        <v>651</v>
      </c>
      <c r="H1" s="6" t="s">
        <v>652</v>
      </c>
      <c r="I1" s="6" t="s">
        <v>653</v>
      </c>
      <c r="J1" s="6" t="s">
        <v>654</v>
      </c>
      <c r="K1" s="6" t="s">
        <v>655</v>
      </c>
      <c r="L1" s="6" t="s">
        <v>656</v>
      </c>
      <c r="M1" s="6" t="s">
        <v>657</v>
      </c>
    </row>
    <row r="2" customFormat="false" ht="54.75" hidden="false" customHeight="true" outlineLevel="0" collapsed="false">
      <c r="A2" s="7" t="s">
        <v>786</v>
      </c>
      <c r="B2" s="8" t="s">
        <v>787</v>
      </c>
      <c r="C2" s="8" t="s">
        <v>788</v>
      </c>
      <c r="D2" s="8" t="s">
        <v>45</v>
      </c>
      <c r="E2" s="8" t="s">
        <v>661</v>
      </c>
      <c r="F2" s="8" t="s">
        <v>789</v>
      </c>
      <c r="G2" s="8" t="s">
        <v>790</v>
      </c>
      <c r="H2" s="8"/>
      <c r="I2" s="8" t="s">
        <v>791</v>
      </c>
      <c r="J2" s="8"/>
      <c r="K2" s="5"/>
      <c r="L2" s="5" t="s">
        <v>14</v>
      </c>
      <c r="M2" s="5"/>
    </row>
    <row r="3" customFormat="false" ht="54.75" hidden="false" customHeight="true" outlineLevel="0" collapsed="false">
      <c r="A3" s="7" t="s">
        <v>792</v>
      </c>
      <c r="B3" s="8" t="s">
        <v>787</v>
      </c>
      <c r="C3" s="8" t="s">
        <v>793</v>
      </c>
      <c r="D3" s="8" t="s">
        <v>43</v>
      </c>
      <c r="E3" s="8" t="s">
        <v>677</v>
      </c>
      <c r="F3" s="8" t="s">
        <v>720</v>
      </c>
      <c r="G3" s="8" t="s">
        <v>794</v>
      </c>
      <c r="H3" s="8" t="s">
        <v>795</v>
      </c>
      <c r="I3" s="8" t="s">
        <v>796</v>
      </c>
      <c r="J3" s="8" t="s">
        <v>797</v>
      </c>
      <c r="K3" s="5"/>
      <c r="L3" s="5" t="s">
        <v>14</v>
      </c>
      <c r="M3" s="5"/>
    </row>
    <row r="4" customFormat="false" ht="29.25" hidden="false" customHeight="true" outlineLevel="0" collapsed="false">
      <c r="A4" s="7" t="s">
        <v>798</v>
      </c>
      <c r="B4" s="8" t="s">
        <v>787</v>
      </c>
      <c r="C4" s="8" t="s">
        <v>799</v>
      </c>
      <c r="D4" s="8" t="s">
        <v>43</v>
      </c>
      <c r="E4" s="8" t="s">
        <v>661</v>
      </c>
      <c r="F4" s="8" t="s">
        <v>720</v>
      </c>
      <c r="G4" s="8" t="s">
        <v>800</v>
      </c>
      <c r="H4" s="8"/>
      <c r="I4" s="8" t="s">
        <v>801</v>
      </c>
      <c r="J4" s="8"/>
      <c r="K4" s="5"/>
      <c r="L4" s="5" t="s">
        <v>14</v>
      </c>
      <c r="M4" s="5"/>
    </row>
    <row r="5" customFormat="false" ht="42" hidden="false" customHeight="true" outlineLevel="0" collapsed="false">
      <c r="A5" s="7" t="s">
        <v>802</v>
      </c>
      <c r="B5" s="8" t="s">
        <v>787</v>
      </c>
      <c r="C5" s="8" t="s">
        <v>803</v>
      </c>
      <c r="D5" s="8" t="s">
        <v>37</v>
      </c>
      <c r="E5" s="8" t="s">
        <v>677</v>
      </c>
      <c r="F5" s="8" t="s">
        <v>720</v>
      </c>
      <c r="G5" s="8" t="s">
        <v>804</v>
      </c>
      <c r="H5" s="8" t="s">
        <v>805</v>
      </c>
      <c r="I5" s="8" t="s">
        <v>806</v>
      </c>
      <c r="J5" s="8"/>
      <c r="K5" s="5"/>
      <c r="L5" s="5" t="s">
        <v>14</v>
      </c>
      <c r="M5" s="5"/>
    </row>
    <row r="6" customFormat="false" ht="29.25" hidden="false" customHeight="true" outlineLevel="0" collapsed="false">
      <c r="A6" s="7" t="s">
        <v>807</v>
      </c>
      <c r="B6" s="8" t="s">
        <v>787</v>
      </c>
      <c r="C6" s="8" t="s">
        <v>808</v>
      </c>
      <c r="D6" s="8" t="s">
        <v>47</v>
      </c>
      <c r="E6" s="8" t="s">
        <v>719</v>
      </c>
      <c r="F6" s="8" t="s">
        <v>720</v>
      </c>
      <c r="G6" s="8" t="s">
        <v>809</v>
      </c>
      <c r="H6" s="8"/>
      <c r="I6" s="8" t="s">
        <v>810</v>
      </c>
      <c r="J6" s="8" t="s">
        <v>170</v>
      </c>
      <c r="K6" s="5"/>
      <c r="L6" s="5" t="s">
        <v>14</v>
      </c>
      <c r="M6" s="5"/>
    </row>
    <row r="7" customFormat="false" ht="42" hidden="false" customHeight="true" outlineLevel="0" collapsed="false">
      <c r="A7" s="7" t="s">
        <v>811</v>
      </c>
      <c r="B7" s="8" t="s">
        <v>787</v>
      </c>
      <c r="C7" s="8" t="s">
        <v>812</v>
      </c>
      <c r="D7" s="8" t="s">
        <v>37</v>
      </c>
      <c r="E7" s="8" t="s">
        <v>661</v>
      </c>
      <c r="F7" s="8" t="s">
        <v>813</v>
      </c>
      <c r="G7" s="8" t="s">
        <v>814</v>
      </c>
      <c r="H7" s="8" t="s">
        <v>795</v>
      </c>
      <c r="I7" s="8" t="s">
        <v>815</v>
      </c>
      <c r="J7" s="8" t="s">
        <v>816</v>
      </c>
      <c r="K7" s="5"/>
      <c r="L7" s="5" t="s">
        <v>14</v>
      </c>
      <c r="M7" s="5"/>
    </row>
    <row r="8" customFormat="false" ht="54.75" hidden="false" customHeight="true" outlineLevel="0" collapsed="false">
      <c r="A8" s="7" t="s">
        <v>817</v>
      </c>
      <c r="B8" s="8" t="s">
        <v>787</v>
      </c>
      <c r="C8" s="8" t="s">
        <v>818</v>
      </c>
      <c r="D8" s="8" t="s">
        <v>47</v>
      </c>
      <c r="E8" s="8" t="s">
        <v>677</v>
      </c>
      <c r="F8" s="8" t="s">
        <v>819</v>
      </c>
      <c r="G8" s="8" t="s">
        <v>820</v>
      </c>
      <c r="H8" s="8" t="s">
        <v>795</v>
      </c>
      <c r="I8" s="8" t="s">
        <v>821</v>
      </c>
      <c r="J8" s="8" t="s">
        <v>822</v>
      </c>
      <c r="K8" s="5"/>
      <c r="L8" s="5" t="s">
        <v>14</v>
      </c>
      <c r="M8" s="5"/>
    </row>
  </sheetData>
  <autoFilter ref="A1:M8"/>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645</v>
      </c>
      <c r="B1" s="6" t="s">
        <v>646</v>
      </c>
      <c r="C1" s="6" t="s">
        <v>647</v>
      </c>
      <c r="D1" s="6" t="s">
        <v>648</v>
      </c>
      <c r="E1" s="6" t="s">
        <v>649</v>
      </c>
      <c r="F1" s="6" t="s">
        <v>650</v>
      </c>
      <c r="G1" s="6" t="s">
        <v>651</v>
      </c>
      <c r="H1" s="6" t="s">
        <v>652</v>
      </c>
      <c r="I1" s="6" t="s">
        <v>653</v>
      </c>
      <c r="J1" s="6" t="s">
        <v>654</v>
      </c>
      <c r="K1" s="6" t="s">
        <v>655</v>
      </c>
      <c r="L1" s="6" t="s">
        <v>656</v>
      </c>
      <c r="M1" s="6" t="s">
        <v>657</v>
      </c>
    </row>
    <row r="2" customFormat="false" ht="80.25" hidden="false" customHeight="true" outlineLevel="0" collapsed="false">
      <c r="A2" s="7" t="s">
        <v>823</v>
      </c>
      <c r="B2" s="8" t="s">
        <v>824</v>
      </c>
      <c r="C2" s="8" t="s">
        <v>825</v>
      </c>
      <c r="D2" s="8" t="s">
        <v>43</v>
      </c>
      <c r="E2" s="8" t="s">
        <v>677</v>
      </c>
      <c r="F2" s="8" t="s">
        <v>826</v>
      </c>
      <c r="G2" s="8" t="s">
        <v>827</v>
      </c>
      <c r="H2" s="8" t="s">
        <v>828</v>
      </c>
      <c r="I2" s="8" t="s">
        <v>829</v>
      </c>
      <c r="J2" s="8" t="s">
        <v>830</v>
      </c>
      <c r="K2" s="5"/>
      <c r="L2" s="5" t="s">
        <v>14</v>
      </c>
      <c r="M2" s="5"/>
    </row>
    <row r="3" customFormat="false" ht="54.75" hidden="false" customHeight="true" outlineLevel="0" collapsed="false">
      <c r="A3" s="7" t="s">
        <v>831</v>
      </c>
      <c r="B3" s="8" t="s">
        <v>824</v>
      </c>
      <c r="C3" s="8" t="s">
        <v>832</v>
      </c>
      <c r="D3" s="8" t="s">
        <v>43</v>
      </c>
      <c r="E3" s="8" t="s">
        <v>677</v>
      </c>
      <c r="F3" s="8" t="s">
        <v>833</v>
      </c>
      <c r="G3" s="8" t="s">
        <v>834</v>
      </c>
      <c r="H3" s="8"/>
      <c r="I3" s="8" t="s">
        <v>835</v>
      </c>
      <c r="J3" s="8" t="s">
        <v>836</v>
      </c>
      <c r="K3" s="5"/>
      <c r="L3" s="5" t="s">
        <v>14</v>
      </c>
      <c r="M3" s="5"/>
    </row>
    <row r="4" customFormat="false" ht="42" hidden="false" customHeight="true" outlineLevel="0" collapsed="false">
      <c r="A4" s="7" t="s">
        <v>837</v>
      </c>
      <c r="B4" s="8" t="s">
        <v>824</v>
      </c>
      <c r="C4" s="8" t="s">
        <v>838</v>
      </c>
      <c r="D4" s="8" t="s">
        <v>37</v>
      </c>
      <c r="E4" s="8" t="s">
        <v>677</v>
      </c>
      <c r="F4" s="8" t="s">
        <v>839</v>
      </c>
      <c r="G4" s="8" t="s">
        <v>840</v>
      </c>
      <c r="H4" s="8"/>
      <c r="I4" s="8" t="s">
        <v>841</v>
      </c>
      <c r="J4" s="8" t="s">
        <v>842</v>
      </c>
      <c r="K4" s="5"/>
      <c r="L4" s="5" t="s">
        <v>14</v>
      </c>
      <c r="M4" s="5"/>
    </row>
    <row r="5" customFormat="false" ht="67.5" hidden="false" customHeight="true" outlineLevel="0" collapsed="false">
      <c r="A5" s="7" t="s">
        <v>843</v>
      </c>
      <c r="B5" s="8" t="s">
        <v>824</v>
      </c>
      <c r="C5" s="8" t="s">
        <v>844</v>
      </c>
      <c r="D5" s="8" t="s">
        <v>39</v>
      </c>
      <c r="E5" s="8" t="s">
        <v>677</v>
      </c>
      <c r="F5" s="8" t="s">
        <v>839</v>
      </c>
      <c r="G5" s="8" t="s">
        <v>845</v>
      </c>
      <c r="H5" s="8"/>
      <c r="I5" s="8" t="s">
        <v>846</v>
      </c>
      <c r="J5" s="8" t="s">
        <v>155</v>
      </c>
      <c r="K5" s="5"/>
      <c r="L5" s="5" t="s">
        <v>14</v>
      </c>
      <c r="M5" s="5"/>
    </row>
    <row r="6" customFormat="false" ht="42" hidden="false" customHeight="true" outlineLevel="0" collapsed="false">
      <c r="A6" s="7" t="s">
        <v>847</v>
      </c>
      <c r="B6" s="8" t="s">
        <v>824</v>
      </c>
      <c r="C6" s="8" t="s">
        <v>848</v>
      </c>
      <c r="D6" s="8" t="s">
        <v>39</v>
      </c>
      <c r="E6" s="8" t="s">
        <v>677</v>
      </c>
      <c r="F6" s="8" t="s">
        <v>849</v>
      </c>
      <c r="G6" s="8" t="s">
        <v>850</v>
      </c>
      <c r="H6" s="8"/>
      <c r="I6" s="8" t="s">
        <v>851</v>
      </c>
      <c r="J6" s="8" t="s">
        <v>131</v>
      </c>
      <c r="K6" s="5"/>
      <c r="L6" s="5" t="s">
        <v>14</v>
      </c>
      <c r="M6" s="5"/>
    </row>
    <row r="7" customFormat="false" ht="42" hidden="false" customHeight="true" outlineLevel="0" collapsed="false">
      <c r="A7" s="7" t="s">
        <v>852</v>
      </c>
      <c r="B7" s="8" t="s">
        <v>824</v>
      </c>
      <c r="C7" s="8" t="s">
        <v>853</v>
      </c>
      <c r="D7" s="8" t="s">
        <v>37</v>
      </c>
      <c r="E7" s="8" t="s">
        <v>661</v>
      </c>
      <c r="F7" s="8" t="s">
        <v>854</v>
      </c>
      <c r="G7" s="8" t="s">
        <v>855</v>
      </c>
      <c r="H7" s="8"/>
      <c r="I7" s="8" t="s">
        <v>856</v>
      </c>
      <c r="J7" s="8"/>
      <c r="K7" s="5"/>
      <c r="L7" s="5" t="s">
        <v>14</v>
      </c>
      <c r="M7" s="5"/>
    </row>
    <row r="8" customFormat="false" ht="29.25" hidden="false" customHeight="true" outlineLevel="0" collapsed="false">
      <c r="A8" s="7" t="s">
        <v>857</v>
      </c>
      <c r="B8" s="8" t="s">
        <v>824</v>
      </c>
      <c r="C8" s="8" t="s">
        <v>858</v>
      </c>
      <c r="D8" s="8" t="s">
        <v>47</v>
      </c>
      <c r="E8" s="8" t="s">
        <v>677</v>
      </c>
      <c r="F8" s="8" t="s">
        <v>720</v>
      </c>
      <c r="G8" s="8" t="s">
        <v>859</v>
      </c>
      <c r="H8" s="8"/>
      <c r="I8" s="8" t="s">
        <v>860</v>
      </c>
      <c r="J8" s="8" t="s">
        <v>125</v>
      </c>
      <c r="K8" s="5"/>
      <c r="L8" s="5" t="s">
        <v>14</v>
      </c>
      <c r="M8" s="5"/>
    </row>
    <row r="9" customFormat="false" ht="54.75" hidden="false" customHeight="true" outlineLevel="0" collapsed="false">
      <c r="A9" s="7" t="s">
        <v>861</v>
      </c>
      <c r="B9" s="8" t="s">
        <v>824</v>
      </c>
      <c r="C9" s="8" t="s">
        <v>862</v>
      </c>
      <c r="D9" s="8" t="s">
        <v>37</v>
      </c>
      <c r="E9" s="8" t="s">
        <v>677</v>
      </c>
      <c r="F9" s="8" t="s">
        <v>863</v>
      </c>
      <c r="G9" s="8" t="s">
        <v>864</v>
      </c>
      <c r="H9" s="8" t="s">
        <v>598</v>
      </c>
      <c r="I9" s="8" t="s">
        <v>865</v>
      </c>
      <c r="J9" s="8" t="s">
        <v>866</v>
      </c>
      <c r="K9" s="5"/>
      <c r="L9" s="5" t="s">
        <v>14</v>
      </c>
      <c r="M9" s="5"/>
    </row>
    <row r="10" customFormat="false" ht="80.25" hidden="false" customHeight="true" outlineLevel="0" collapsed="false">
      <c r="A10" s="7" t="s">
        <v>867</v>
      </c>
      <c r="B10" s="8" t="s">
        <v>824</v>
      </c>
      <c r="C10" s="8" t="s">
        <v>868</v>
      </c>
      <c r="D10" s="8" t="s">
        <v>47</v>
      </c>
      <c r="E10" s="8" t="s">
        <v>677</v>
      </c>
      <c r="F10" s="8" t="s">
        <v>869</v>
      </c>
      <c r="G10" s="8" t="s">
        <v>870</v>
      </c>
      <c r="H10" s="8" t="s">
        <v>871</v>
      </c>
      <c r="I10" s="8" t="s">
        <v>872</v>
      </c>
      <c r="J10" s="8" t="s">
        <v>822</v>
      </c>
      <c r="K10" s="5"/>
      <c r="L10" s="5" t="s">
        <v>14</v>
      </c>
      <c r="M10" s="5"/>
    </row>
    <row r="11" customFormat="false" ht="54.75" hidden="false" customHeight="true" outlineLevel="0" collapsed="false">
      <c r="A11" s="7" t="s">
        <v>873</v>
      </c>
      <c r="B11" s="8" t="s">
        <v>824</v>
      </c>
      <c r="C11" s="8" t="s">
        <v>874</v>
      </c>
      <c r="D11" s="8" t="s">
        <v>45</v>
      </c>
      <c r="E11" s="8" t="s">
        <v>661</v>
      </c>
      <c r="F11" s="8" t="s">
        <v>875</v>
      </c>
      <c r="G11" s="8" t="s">
        <v>876</v>
      </c>
      <c r="H11" s="8"/>
      <c r="I11" s="8" t="s">
        <v>877</v>
      </c>
      <c r="J11" s="8" t="s">
        <v>125</v>
      </c>
      <c r="K11" s="5"/>
      <c r="L11" s="5" t="s">
        <v>14</v>
      </c>
      <c r="M11" s="5"/>
    </row>
    <row r="12" customFormat="false" ht="42" hidden="false" customHeight="true" outlineLevel="0" collapsed="false">
      <c r="A12" s="7" t="s">
        <v>878</v>
      </c>
      <c r="B12" s="8" t="s">
        <v>824</v>
      </c>
      <c r="C12" s="8" t="s">
        <v>879</v>
      </c>
      <c r="D12" s="8" t="s">
        <v>45</v>
      </c>
      <c r="E12" s="8" t="s">
        <v>719</v>
      </c>
      <c r="F12" s="8" t="s">
        <v>880</v>
      </c>
      <c r="G12" s="8" t="s">
        <v>881</v>
      </c>
      <c r="H12" s="8"/>
      <c r="I12" s="8" t="s">
        <v>882</v>
      </c>
      <c r="J12" s="8" t="s">
        <v>221</v>
      </c>
      <c r="K12" s="5"/>
      <c r="L12" s="5" t="s">
        <v>14</v>
      </c>
      <c r="M12" s="5"/>
    </row>
  </sheetData>
  <autoFilter ref="A1:M12"/>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645</v>
      </c>
      <c r="B1" s="6" t="s">
        <v>646</v>
      </c>
      <c r="C1" s="6" t="s">
        <v>647</v>
      </c>
      <c r="D1" s="6" t="s">
        <v>648</v>
      </c>
      <c r="E1" s="6" t="s">
        <v>649</v>
      </c>
      <c r="F1" s="6" t="s">
        <v>650</v>
      </c>
      <c r="G1" s="6" t="s">
        <v>651</v>
      </c>
      <c r="H1" s="6" t="s">
        <v>652</v>
      </c>
      <c r="I1" s="6" t="s">
        <v>653</v>
      </c>
      <c r="J1" s="6" t="s">
        <v>654</v>
      </c>
      <c r="K1" s="6" t="s">
        <v>655</v>
      </c>
      <c r="L1" s="6" t="s">
        <v>656</v>
      </c>
      <c r="M1" s="6" t="s">
        <v>657</v>
      </c>
    </row>
    <row r="2" customFormat="false" ht="54.75" hidden="false" customHeight="true" outlineLevel="0" collapsed="false">
      <c r="A2" s="7" t="s">
        <v>883</v>
      </c>
      <c r="B2" s="8" t="s">
        <v>884</v>
      </c>
      <c r="C2" s="8" t="s">
        <v>885</v>
      </c>
      <c r="D2" s="8" t="s">
        <v>43</v>
      </c>
      <c r="E2" s="8" t="s">
        <v>677</v>
      </c>
      <c r="F2" s="8" t="s">
        <v>886</v>
      </c>
      <c r="G2" s="8" t="s">
        <v>887</v>
      </c>
      <c r="H2" s="8"/>
      <c r="I2" s="8" t="s">
        <v>888</v>
      </c>
      <c r="J2" s="8" t="s">
        <v>889</v>
      </c>
      <c r="K2" s="5"/>
      <c r="L2" s="5" t="s">
        <v>14</v>
      </c>
      <c r="M2" s="5"/>
    </row>
    <row r="3" customFormat="false" ht="29.25" hidden="false" customHeight="true" outlineLevel="0" collapsed="false">
      <c r="A3" s="7" t="s">
        <v>890</v>
      </c>
      <c r="B3" s="8" t="s">
        <v>884</v>
      </c>
      <c r="C3" s="8" t="s">
        <v>891</v>
      </c>
      <c r="D3" s="8" t="s">
        <v>37</v>
      </c>
      <c r="E3" s="8" t="s">
        <v>661</v>
      </c>
      <c r="F3" s="8" t="s">
        <v>720</v>
      </c>
      <c r="G3" s="8" t="s">
        <v>892</v>
      </c>
      <c r="H3" s="8"/>
      <c r="I3" s="8" t="s">
        <v>893</v>
      </c>
      <c r="J3" s="8" t="s">
        <v>98</v>
      </c>
      <c r="K3" s="5"/>
      <c r="L3" s="5" t="s">
        <v>14</v>
      </c>
      <c r="M3" s="5"/>
    </row>
    <row r="4" customFormat="false" ht="42" hidden="false" customHeight="true" outlineLevel="0" collapsed="false">
      <c r="A4" s="7" t="s">
        <v>894</v>
      </c>
      <c r="B4" s="8" t="s">
        <v>884</v>
      </c>
      <c r="C4" s="8" t="s">
        <v>895</v>
      </c>
      <c r="D4" s="8" t="s">
        <v>43</v>
      </c>
      <c r="E4" s="8" t="s">
        <v>677</v>
      </c>
      <c r="F4" s="8" t="s">
        <v>896</v>
      </c>
      <c r="G4" s="8" t="s">
        <v>897</v>
      </c>
      <c r="H4" s="8"/>
      <c r="I4" s="8" t="s">
        <v>898</v>
      </c>
      <c r="J4" s="8" t="s">
        <v>98</v>
      </c>
      <c r="K4" s="5"/>
      <c r="L4" s="5" t="s">
        <v>14</v>
      </c>
      <c r="M4" s="5"/>
    </row>
    <row r="5" customFormat="false" ht="29.25" hidden="false" customHeight="true" outlineLevel="0" collapsed="false">
      <c r="A5" s="7" t="s">
        <v>899</v>
      </c>
      <c r="B5" s="8" t="s">
        <v>884</v>
      </c>
      <c r="C5" s="8" t="s">
        <v>900</v>
      </c>
      <c r="D5" s="8" t="s">
        <v>43</v>
      </c>
      <c r="E5" s="8" t="s">
        <v>677</v>
      </c>
      <c r="F5" s="8" t="s">
        <v>901</v>
      </c>
      <c r="G5" s="8" t="s">
        <v>902</v>
      </c>
      <c r="H5" s="8"/>
      <c r="I5" s="8" t="s">
        <v>903</v>
      </c>
      <c r="J5" s="8" t="s">
        <v>98</v>
      </c>
      <c r="K5" s="5"/>
      <c r="L5" s="5" t="s">
        <v>14</v>
      </c>
      <c r="M5" s="5"/>
    </row>
    <row r="6" customFormat="false" ht="29.25" hidden="false" customHeight="true" outlineLevel="0" collapsed="false">
      <c r="A6" s="7" t="s">
        <v>904</v>
      </c>
      <c r="B6" s="8" t="s">
        <v>884</v>
      </c>
      <c r="C6" s="8" t="s">
        <v>905</v>
      </c>
      <c r="D6" s="8" t="s">
        <v>39</v>
      </c>
      <c r="E6" s="8" t="s">
        <v>677</v>
      </c>
      <c r="F6" s="8" t="s">
        <v>906</v>
      </c>
      <c r="G6" s="8" t="s">
        <v>907</v>
      </c>
      <c r="H6" s="8"/>
      <c r="I6" s="8" t="s">
        <v>908</v>
      </c>
      <c r="J6" s="8" t="s">
        <v>98</v>
      </c>
      <c r="K6" s="5"/>
      <c r="L6" s="5" t="s">
        <v>14</v>
      </c>
      <c r="M6" s="5"/>
    </row>
  </sheetData>
  <autoFilter ref="A1:M6"/>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8"/>
    <col collapsed="false" customWidth="true" hidden="false" outlineLevel="0" max="4" min="4" style="0" width="16"/>
    <col collapsed="false" customWidth="true" hidden="false" outlineLevel="0" max="5" min="5" style="0" width="9"/>
    <col collapsed="false" customWidth="true" hidden="false" outlineLevel="0" max="6" min="6" style="0" width="30"/>
    <col collapsed="false" customWidth="true" hidden="false" outlineLevel="0" max="7" min="7" style="0" width="40"/>
    <col collapsed="false" customWidth="true" hidden="false" outlineLevel="0" max="8" min="8" style="0" width="34"/>
    <col collapsed="false" customWidth="true" hidden="false" outlineLevel="0" max="9" min="9" style="0" width="44"/>
    <col collapsed="false" customWidth="true" hidden="false" outlineLevel="0" max="10" min="10" style="0" width="11"/>
    <col collapsed="false" customWidth="true" hidden="false" outlineLevel="0" max="11" min="11" style="0" width="30"/>
    <col collapsed="false" customWidth="true" hidden="false" outlineLevel="0" max="12" min="12" style="0" width="10"/>
    <col collapsed="false" customWidth="true" hidden="false" outlineLevel="0" max="13" min="13" style="0" width="24"/>
  </cols>
  <sheetData>
    <row r="1" customFormat="false" ht="27.75" hidden="false" customHeight="true" outlineLevel="0" collapsed="false">
      <c r="A1" s="6" t="s">
        <v>645</v>
      </c>
      <c r="B1" s="6" t="s">
        <v>646</v>
      </c>
      <c r="C1" s="6" t="s">
        <v>647</v>
      </c>
      <c r="D1" s="6" t="s">
        <v>648</v>
      </c>
      <c r="E1" s="6" t="s">
        <v>649</v>
      </c>
      <c r="F1" s="6" t="s">
        <v>650</v>
      </c>
      <c r="G1" s="6" t="s">
        <v>651</v>
      </c>
      <c r="H1" s="6" t="s">
        <v>652</v>
      </c>
      <c r="I1" s="6" t="s">
        <v>653</v>
      </c>
      <c r="J1" s="6" t="s">
        <v>654</v>
      </c>
      <c r="K1" s="6" t="s">
        <v>655</v>
      </c>
      <c r="L1" s="6" t="s">
        <v>656</v>
      </c>
      <c r="M1" s="6" t="s">
        <v>657</v>
      </c>
    </row>
    <row r="2" customFormat="false" ht="42" hidden="false" customHeight="true" outlineLevel="0" collapsed="false">
      <c r="A2" s="7" t="s">
        <v>909</v>
      </c>
      <c r="B2" s="8" t="s">
        <v>910</v>
      </c>
      <c r="C2" s="8" t="s">
        <v>911</v>
      </c>
      <c r="D2" s="8" t="s">
        <v>45</v>
      </c>
      <c r="E2" s="8" t="s">
        <v>661</v>
      </c>
      <c r="F2" s="8" t="s">
        <v>912</v>
      </c>
      <c r="G2" s="8" t="s">
        <v>913</v>
      </c>
      <c r="H2" s="8"/>
      <c r="I2" s="8" t="s">
        <v>914</v>
      </c>
      <c r="J2" s="8"/>
      <c r="K2" s="5"/>
      <c r="L2" s="5" t="s">
        <v>14</v>
      </c>
      <c r="M2" s="5"/>
    </row>
    <row r="3" customFormat="false" ht="54.75" hidden="false" customHeight="true" outlineLevel="0" collapsed="false">
      <c r="A3" s="7" t="s">
        <v>915</v>
      </c>
      <c r="B3" s="8" t="s">
        <v>910</v>
      </c>
      <c r="C3" s="8" t="s">
        <v>916</v>
      </c>
      <c r="D3" s="8" t="s">
        <v>45</v>
      </c>
      <c r="E3" s="8" t="s">
        <v>677</v>
      </c>
      <c r="F3" s="8" t="s">
        <v>917</v>
      </c>
      <c r="G3" s="8" t="s">
        <v>918</v>
      </c>
      <c r="H3" s="8"/>
      <c r="I3" s="8" t="s">
        <v>919</v>
      </c>
      <c r="J3" s="8" t="s">
        <v>158</v>
      </c>
      <c r="K3" s="5"/>
      <c r="L3" s="5" t="s">
        <v>14</v>
      </c>
      <c r="M3" s="5"/>
    </row>
    <row r="4" customFormat="false" ht="67.5" hidden="false" customHeight="true" outlineLevel="0" collapsed="false">
      <c r="A4" s="7" t="s">
        <v>920</v>
      </c>
      <c r="B4" s="8" t="s">
        <v>910</v>
      </c>
      <c r="C4" s="8" t="s">
        <v>921</v>
      </c>
      <c r="D4" s="8" t="s">
        <v>45</v>
      </c>
      <c r="E4" s="8" t="s">
        <v>677</v>
      </c>
      <c r="F4" s="8" t="s">
        <v>922</v>
      </c>
      <c r="G4" s="8" t="s">
        <v>923</v>
      </c>
      <c r="H4" s="8"/>
      <c r="I4" s="8" t="s">
        <v>924</v>
      </c>
      <c r="J4" s="8" t="s">
        <v>131</v>
      </c>
      <c r="K4" s="5"/>
      <c r="L4" s="5" t="s">
        <v>14</v>
      </c>
      <c r="M4" s="5"/>
    </row>
    <row r="5" customFormat="false" ht="42" hidden="false" customHeight="true" outlineLevel="0" collapsed="false">
      <c r="A5" s="7" t="s">
        <v>925</v>
      </c>
      <c r="B5" s="8" t="s">
        <v>910</v>
      </c>
      <c r="C5" s="8" t="s">
        <v>926</v>
      </c>
      <c r="D5" s="8" t="s">
        <v>43</v>
      </c>
      <c r="E5" s="8" t="s">
        <v>677</v>
      </c>
      <c r="F5" s="8" t="s">
        <v>720</v>
      </c>
      <c r="G5" s="8" t="s">
        <v>927</v>
      </c>
      <c r="H5" s="8"/>
      <c r="I5" s="8" t="s">
        <v>928</v>
      </c>
      <c r="J5" s="8" t="s">
        <v>131</v>
      </c>
      <c r="K5" s="5"/>
      <c r="L5" s="5" t="s">
        <v>14</v>
      </c>
      <c r="M5" s="5"/>
    </row>
    <row r="6" customFormat="false" ht="42" hidden="false" customHeight="true" outlineLevel="0" collapsed="false">
      <c r="A6" s="7" t="s">
        <v>929</v>
      </c>
      <c r="B6" s="8" t="s">
        <v>910</v>
      </c>
      <c r="C6" s="8" t="s">
        <v>930</v>
      </c>
      <c r="D6" s="8" t="s">
        <v>39</v>
      </c>
      <c r="E6" s="8" t="s">
        <v>661</v>
      </c>
      <c r="F6" s="8" t="s">
        <v>720</v>
      </c>
      <c r="G6" s="8" t="s">
        <v>931</v>
      </c>
      <c r="H6" s="8"/>
      <c r="I6" s="8" t="s">
        <v>932</v>
      </c>
      <c r="J6" s="8" t="s">
        <v>131</v>
      </c>
      <c r="K6" s="5"/>
      <c r="L6" s="5" t="s">
        <v>14</v>
      </c>
      <c r="M6" s="5"/>
    </row>
    <row r="7" customFormat="false" ht="29.25" hidden="false" customHeight="true" outlineLevel="0" collapsed="false">
      <c r="A7" s="7" t="s">
        <v>933</v>
      </c>
      <c r="B7" s="8" t="s">
        <v>910</v>
      </c>
      <c r="C7" s="8" t="s">
        <v>934</v>
      </c>
      <c r="D7" s="8" t="s">
        <v>47</v>
      </c>
      <c r="E7" s="8" t="s">
        <v>677</v>
      </c>
      <c r="F7" s="8" t="s">
        <v>720</v>
      </c>
      <c r="G7" s="8" t="s">
        <v>935</v>
      </c>
      <c r="H7" s="8"/>
      <c r="I7" s="8" t="s">
        <v>936</v>
      </c>
      <c r="J7" s="8" t="s">
        <v>937</v>
      </c>
      <c r="K7" s="5"/>
      <c r="L7" s="5" t="s">
        <v>14</v>
      </c>
      <c r="M7" s="5"/>
    </row>
  </sheetData>
  <autoFilter ref="A1:M7"/>
  <conditionalFormatting sqref="L2:L200">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onditionalFormatting>
  <dataValidations count="1">
    <dataValidation allowBlank="true" errorStyle="stop" operator="between" showDropDown="false" showErrorMessage="false" showInputMessage="false" sqref="L2:L2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2026-10-14T03:54:29Z</dcterms:created>
  <dc:creator>openpyxl</dc:creator>
  <dc:description/>
  <dc:language>en-US</dc:language>
  <cp:lastModifiedBy/>
  <dcterms:modified xsi:type="dcterms:W3CDTF">2026-10-21T00:43:00Z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