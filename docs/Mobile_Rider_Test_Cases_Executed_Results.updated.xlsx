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tabRatio="500" activeTab="4"/>
  </bookViews>
  <sheets>
    <sheet name="Summary" sheetId="1" r:id="rId1"/>
    <sheet name="Test Data" sheetId="2" r:id="rId2"/>
    <sheet name="Test Files" sheetId="3" r:id="rId3"/>
    <sheet name="Assumptions" sheetId="4" r:id="rId4"/>
    <sheet name="Rider" sheetId="5" r:id="rId5"/>
  </sheets>
  <definedNames>
    <definedName name="_xlnm._FilterDatabase" localSheetId="4" hidden="1">Rider!$A$1:$M$48</definedName>
    <definedName name="_xlnm.Print_Titles" localSheetId="4">Rider!$1:$1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<sst xmlns="http://schemas.openxmlformats.org/spreadsheetml/2006/main" count="1528" uniqueCount="864">
  <si>
    <t>Rider Account Creation - Website Test Results</t>
  </si>
  <si>
    <t>Multi-role e-commerce mobile app (Buyer, Seller, Logistics, Rider, Courier)</t>
  </si>
  <si>
    <t>Test run details</t>
  </si>
  <si>
    <t>System under test</t>
  </si>
  <si>
    <t>PocketFinds locally served website at http://127.0.0.1:8000</t>
  </si>
  <si>
    <t>App version / build number</t>
  </si>
  <si>
    <t>Current local application and database</t>
  </si>
  <si>
    <t>Test device (model, OS version) and network (Wi-Fi / mobile data)</t>
  </si>
  <si>
    <t>Website session on Windows; no physical phone used</t>
  </si>
  <si>
    <t>Tester</t>
  </si>
  <si>
    <t>User-style website review assisted by Codex</t>
  </si>
  <si>
    <t>Date tested</t>
  </si>
  <si>
    <t>2026-10-24 (Asia/Singapore)</t>
  </si>
  <si>
    <t>Results by role</t>
  </si>
  <si>
    <t>Role (sheet)</t>
  </si>
  <si>
    <t>Total test cases</t>
  </si>
  <si>
    <t>Pass</t>
  </si>
  <si>
    <t>Fail</t>
  </si>
  <si>
    <t>Blocked</t>
  </si>
  <si>
    <t>Not Run</t>
  </si>
  <si>
    <t>Pass rate (Pass / Total)</t>
  </si>
  <si>
    <t>Buyer (separate workbook)</t>
  </si>
  <si>
    <t>Seller (separate workbook)</t>
  </si>
  <si>
    <t>Logistics (separate workbook)</t>
  </si>
  <si>
    <t>Rider</t>
  </si>
  <si>
    <t>Total</t>
  </si>
  <si>
    <t>How to use this workbook</t>
  </si>
  <si>
    <t>All 47 Rider cases were reviewed: 21 Pass, 15 Fail, and 11 Blocked.</t>
  </si>
  <si>
    <t>Actual Result and Remarks describe what a tester observed on the website. The public internet address was unreachable from the test environment, so the same application was used through its local website.</t>
  </si>
  <si>
    <t>Blocked cases still require a physical phone, installed Rider app, camera/gallery permissions, phone interruption, font/rotation controls, or controlled network loss. They were not marked Pass or Fail without performing those steps.</t>
  </si>
  <si>
    <t>4. On each role sheet, run the Test Steps with the Test Data and compare what happens with the Expected Result. Use a spare email and mobile number from the Test Data sheet whenever a value marked (accept) creates another account.</t>
  </si>
  <si>
    <t>Temporary test accounts were used for the login, company-isolation, session, and logout checks and removed after testing.</t>
  </si>
  <si>
    <t>6. Fill in only the yellow cells: Actual Result, Status and Remarks. Pick the Status from the dropdown (Pass, Fail, Blocked, Not Run).</t>
  </si>
  <si>
    <t>7. Pass = actual matches expected. Fail = it does not (describe what happened and add a screenshot or bug number in Remarks). Blocked = the case could not be run, for example because an earlier case failed.</t>
  </si>
  <si>
    <t>8. The Results by role table above updates automatically from the Status column.</t>
  </si>
  <si>
    <t>Example of a filled-in row (illustration only, not a real result)</t>
  </si>
  <si>
    <t>Test Case ID</t>
  </si>
  <si>
    <t>Test Scenario</t>
  </si>
  <si>
    <t>Expected Result</t>
  </si>
  <si>
    <t>Actual Result</t>
  </si>
  <si>
    <t>Status</t>
  </si>
  <si>
    <t>Remarks</t>
  </si>
  <si>
    <t>TC-BUY-010</t>
  </si>
  <si>
    <t>Email that is already registered</t>
  </si>
  <si>
    <t>Registration is blocked. A message says the email is already in use. No account is created.</t>
  </si>
  <si>
    <t>No message was shown. A second account was created with juanmiguel.delacruz@example.com.</t>
  </si>
  <si>
    <t>Bug #012. Screenshot: buy-010.png</t>
  </si>
  <si>
    <t>Black-box techniques used</t>
  </si>
  <si>
    <t>Equivalence Partitioning</t>
  </si>
  <si>
    <t>Inputs are grouped into valid and invalid classes, and one value from each class is tested.</t>
  </si>
  <si>
    <t>Boundary Value Analysis</t>
  </si>
  <si>
    <t>Values at and just beyond a limit are tested, for example 7 and 8 characters for a minimum of 8.</t>
  </si>
  <si>
    <t>Decision Table</t>
  </si>
  <si>
    <t>Combinations of conditions are tested, for example each missing password character type.</t>
  </si>
  <si>
    <t>State Transition</t>
  </si>
  <si>
    <t>Changes in account status are tested, for example Unverified to Active or Pending Approval to Approved.</t>
  </si>
  <si>
    <t>Use Case Testing</t>
  </si>
  <si>
    <t>A complete user flow is tested from start to finish with valid data.</t>
  </si>
  <si>
    <t>Error Guessing</t>
  </si>
  <si>
    <t>Likely mistakes are tested based on experience, for example double-tapping Register or opening another role's screen through a deep link.</t>
  </si>
  <si>
    <t>Mobile app testing notes</t>
  </si>
  <si>
    <t>1. Install the build under test on at least one Android phone, and on an iPhone if your system supports iOS. Write the phone model, OS version and app build number in the Test run details above, and test on the same build throughout.</t>
  </si>
  <si>
    <t>2. Copy every file on the Test Files sheet to the phone before testing: documents to the Files / Downloads folder and images to Photos (gallery).</t>
  </si>
  <si>
    <t>3. Rows whose Test Scenario starts with [Mobile] are new mobile-only cases (keyboard, interruptions, no internet, permissions, camera, Back button, push notifications, deep links). Filter the Test Scenario column on '[Mobile]' to run them as a group. Assumptions M1 to M12 describe the rules they check.</t>
  </si>
  <si>
    <t>4. 'Tap' is a single tap and 'double-tap' is two quick taps on the same button. 'Pull to refresh' means dragging the screen down from the top; if a screen has none, go back and reopen it. Use Airplane mode for the no-internet cases and turn it off before the next case.</t>
  </si>
  <si>
    <t>5. Cases that send or capture an API request need a proxy tool on the phone (Assumption M11). If your group cannot capture app traffic, mark those cases Blocked and write 'no proxy' in Remarks.</t>
  </si>
  <si>
    <t>6. Evidence: use the phone's screenshot or built-in screen recorder and name each file by case ID (for example buy-010.png or buy-031.mp4). Screen recordings are best for timing, interruption and no-internet cases.</t>
  </si>
  <si>
    <t>Test data and input details</t>
  </si>
  <si>
    <t>Every form field per role, with its rule and two complete sets of valid data. Account 1 is the main account in the test cases. Account 2 is for cases that need a second account. All people, companies, numbers and addresses are fictional.</t>
  </si>
  <si>
    <t>Buyer: Self-registration</t>
  </si>
  <si>
    <t>Role</t>
  </si>
  <si>
    <t>Field</t>
  </si>
  <si>
    <t>Required</t>
  </si>
  <si>
    <t>Input type</t>
  </si>
  <si>
    <t>Format / rule</t>
  </si>
  <si>
    <t>Account 1 (valid)</t>
  </si>
  <si>
    <t>Account 2 (valid)</t>
  </si>
  <si>
    <t>Buyer</t>
  </si>
  <si>
    <t>First Name</t>
  </si>
  <si>
    <t>Yes</t>
  </si>
  <si>
    <t>Text</t>
  </si>
  <si>
    <t>2 to 50 characters; letters, spaces, hyphen, apostrophe, period</t>
  </si>
  <si>
    <t>Juan Miguel</t>
  </si>
  <si>
    <t>Ana Marie</t>
  </si>
  <si>
    <t>Last Name</t>
  </si>
  <si>
    <t>Dela Cruz</t>
  </si>
  <si>
    <t>Reyes</t>
  </si>
  <si>
    <t>Email</t>
  </si>
  <si>
    <t>Valid email format; unique</t>
  </si>
  <si>
    <t>juanmiguel.delacruz@example.com</t>
  </si>
  <si>
    <t>anamarie.reyes@example.com</t>
  </si>
  <si>
    <t>Mobile Number</t>
  </si>
  <si>
    <t>09XXXXXXXXX or +639XXXXXXXXX; unique</t>
  </si>
  <si>
    <t>09171234567</t>
  </si>
  <si>
    <t>09173456789</t>
  </si>
  <si>
    <t>Date of Birth</t>
  </si>
  <si>
    <t>Date picker</t>
  </si>
  <si>
    <t>At least 18 years old</t>
  </si>
  <si>
    <t>05/14/1998</t>
  </si>
  <si>
    <t>11/02/2001</t>
  </si>
  <si>
    <t>Password</t>
  </si>
  <si>
    <t>Min 8 characters; uppercase, lowercase, number, special character</t>
  </si>
  <si>
    <t>Mamimili@2026</t>
  </si>
  <si>
    <t>Suki#2026Ana</t>
  </si>
  <si>
    <t>Confirm Password</t>
  </si>
  <si>
    <t>Must match Password</t>
  </si>
  <si>
    <t>Terms and Privacy Policy</t>
  </si>
  <si>
    <t>Checkbox</t>
  </si>
  <si>
    <t>Must be ticked</t>
  </si>
  <si>
    <t>Ticked</t>
  </si>
  <si>
    <t>Seller: Self-registration, then admin approval</t>
  </si>
  <si>
    <t>Seller</t>
  </si>
  <si>
    <t>Maria Clara</t>
  </si>
  <si>
    <t>Roberto</t>
  </si>
  <si>
    <t>Santos</t>
  </si>
  <si>
    <t>Villanueva</t>
  </si>
  <si>
    <t>mariaclara.santos@example.com</t>
  </si>
  <si>
    <t>roberto.villanueva@example.com</t>
  </si>
  <si>
    <t>09189876543</t>
  </si>
  <si>
    <t>09194567890</t>
  </si>
  <si>
    <t>Shop Name</t>
  </si>
  <si>
    <t>3 to 30 characters; unique</t>
  </si>
  <si>
    <t>Maria Clara Handicrafts</t>
  </si>
  <si>
    <t>RV Gadget Hub</t>
  </si>
  <si>
    <t>Shop Category</t>
  </si>
  <si>
    <t>Dropdown (picker)</t>
  </si>
  <si>
    <t>One main category</t>
  </si>
  <si>
    <t>Home &amp; Living</t>
  </si>
  <si>
    <t>Mobiles &amp; Gadgets</t>
  </si>
  <si>
    <t>Seller Type</t>
  </si>
  <si>
    <t>Individual, Sole Proprietorship or Corporation</t>
  </si>
  <si>
    <t>Sole Proprietorship</t>
  </si>
  <si>
    <t>Corporation</t>
  </si>
  <si>
    <t>TIN</t>
  </si>
  <si>
    <t>000-000-000-000 (12 digits); unique</t>
  </si>
  <si>
    <t>123-456-789-000</t>
  </si>
  <si>
    <t>456-789-012-000</t>
  </si>
  <si>
    <t>Region</t>
  </si>
  <si>
    <t>Philippine regions</t>
  </si>
  <si>
    <t>National Capital Region (NCR)</t>
  </si>
  <si>
    <t>Region VII (Central Visayas)</t>
  </si>
  <si>
    <t>Province</t>
  </si>
  <si>
    <t>Filtered by Region</t>
  </si>
  <si>
    <t>Metro Manila</t>
  </si>
  <si>
    <t>Cebu</t>
  </si>
  <si>
    <t>City / Municipality</t>
  </si>
  <si>
    <t>Filtered by Province</t>
  </si>
  <si>
    <t>Quezon City</t>
  </si>
  <si>
    <t>Cebu City</t>
  </si>
  <si>
    <t>Barangay</t>
  </si>
  <si>
    <t>Filtered by City / Municipality</t>
  </si>
  <si>
    <t>Commonwealth</t>
  </si>
  <si>
    <t>Lahug</t>
  </si>
  <si>
    <t>Street Address</t>
  </si>
  <si>
    <t>House, unit or lot number and street</t>
  </si>
  <si>
    <t>Blk 12 Lot 8, Sampaguita St.</t>
  </si>
  <si>
    <t>2F, 45 Gorordo Ave.</t>
  </si>
  <si>
    <t>Postal Code</t>
  </si>
  <si>
    <t>Exactly 4 digits</t>
  </si>
  <si>
    <t>1121</t>
  </si>
  <si>
    <t>6000</t>
  </si>
  <si>
    <t>Government-issued ID (upload)</t>
  </si>
  <si>
    <t>File (camera, gallery or Files)</t>
  </si>
  <si>
    <t>JPG, PNG or PDF; max 5 MB</t>
  </si>
  <si>
    <t>govt_id_front.jpg (1.2 MB)</t>
  </si>
  <si>
    <t>govt_id_front.png (2.4 MB)</t>
  </si>
  <si>
    <t>DTI Certificate (upload)</t>
  </si>
  <si>
    <t>Sole Proprietorship only</t>
  </si>
  <si>
    <t>dti_certificate.pdf (850 KB)</t>
  </si>
  <si>
    <t>Not applicable</t>
  </si>
  <si>
    <t>SEC Certificate (upload)</t>
  </si>
  <si>
    <t>Corporation only</t>
  </si>
  <si>
    <t>sec_certificate.pdf (1.0 MB)</t>
  </si>
  <si>
    <t>BIR Form 2303 (upload)</t>
  </si>
  <si>
    <t>Sole Proprietorship and Corporation</t>
  </si>
  <si>
    <t>bir_2303.pdf (1.1 MB)</t>
  </si>
  <si>
    <t>Tindahan@2026</t>
  </si>
  <si>
    <t>Gadget#Hub26</t>
  </si>
  <si>
    <t>Logistics: Self-registration, then admin approval</t>
  </si>
  <si>
    <t>Logistics</t>
  </si>
  <si>
    <t>Company Name</t>
  </si>
  <si>
    <t>Unique</t>
  </si>
  <si>
    <t>Bilis Hatid Express Inc.</t>
  </si>
  <si>
    <t>Agila Cargo Movers Corp.</t>
  </si>
  <si>
    <t>SEC Registration No.</t>
  </si>
  <si>
    <t>2 letters followed by 9 digits; unique</t>
  </si>
  <si>
    <t>CS202012345</t>
  </si>
  <si>
    <t>CS201998765</t>
  </si>
  <si>
    <t>234-567-890-000</t>
  </si>
  <si>
    <t>567-890-123-000</t>
  </si>
  <si>
    <t>Region XI (Davao Region)</t>
  </si>
  <si>
    <t>Davao del Sur</t>
  </si>
  <si>
    <t>Pasig City</t>
  </si>
  <si>
    <t>Davao City</t>
  </si>
  <si>
    <t>Kapitolyo</t>
  </si>
  <si>
    <t>Buhangin</t>
  </si>
  <si>
    <t>Unit 5B, 88 West Capitol Drive</t>
  </si>
  <si>
    <t>Door 3, 210 Sampaguita St.</t>
  </si>
  <si>
    <t>1603</t>
  </si>
  <si>
    <t>8000</t>
  </si>
  <si>
    <t>Contact Person First Name</t>
  </si>
  <si>
    <t>Carlos Antonio</t>
  </si>
  <si>
    <t>Liza Mae</t>
  </si>
  <si>
    <t>Contact Person Last Name</t>
  </si>
  <si>
    <t>Mendoza</t>
  </si>
  <si>
    <t>Fernandez</t>
  </si>
  <si>
    <t>Position</t>
  </si>
  <si>
    <t>Job title of the contact person</t>
  </si>
  <si>
    <t>Operations Manager</t>
  </si>
  <si>
    <t>General Manager</t>
  </si>
  <si>
    <t>operations@bilishatid.example.com</t>
  </si>
  <si>
    <t>admin@agilacargo.example.com</t>
  </si>
  <si>
    <t>09285551234</t>
  </si>
  <si>
    <t>09396667890</t>
  </si>
  <si>
    <t>Service Areas</t>
  </si>
  <si>
    <t>Multi-select (picker)</t>
  </si>
  <si>
    <t>At least one region</t>
  </si>
  <si>
    <t>NCR; Region IV-A (CALABARZON)</t>
  </si>
  <si>
    <t>Mayor's / Business Permit (upload)</t>
  </si>
  <si>
    <t>mayors_permit.pdf (1.3 MB)</t>
  </si>
  <si>
    <t>Valid ID of Authorized Representative (upload)</t>
  </si>
  <si>
    <t>Hatid@2026</t>
  </si>
  <si>
    <t>Agila#Cargo26</t>
  </si>
  <si>
    <t>Rider: Created by an Approved logistics account</t>
  </si>
  <si>
    <t>Pedro Jose</t>
  </si>
  <si>
    <t>Mark Anthony</t>
  </si>
  <si>
    <t>Garcia</t>
  </si>
  <si>
    <t>Bautista</t>
  </si>
  <si>
    <t>03/22/1995</t>
  </si>
  <si>
    <t>08/09/1999</t>
  </si>
  <si>
    <t>pedrojose.garcia@example.com</t>
  </si>
  <si>
    <t>markanthony.bautista@example.com</t>
  </si>
  <si>
    <t>09451239876</t>
  </si>
  <si>
    <t>09662345678</t>
  </si>
  <si>
    <t>Driver's License No.</t>
  </si>
  <si>
    <t>A00-00-000000; unique</t>
  </si>
  <si>
    <t>N01-23-456789</t>
  </si>
  <si>
    <t>D05-19-123456</t>
  </si>
  <si>
    <t>License Expiry Date</t>
  </si>
  <si>
    <t>Today or later</t>
  </si>
  <si>
    <t>03/22/2030</t>
  </si>
  <si>
    <t>08/09/2031</t>
  </si>
  <si>
    <t>Vehicle Type</t>
  </si>
  <si>
    <t>Motorcycle, Car or Van</t>
  </si>
  <si>
    <t>Motorcycle</t>
  </si>
  <si>
    <t>Van</t>
  </si>
  <si>
    <t>Plate Number</t>
  </si>
  <si>
    <t>123ABC</t>
  </si>
  <si>
    <t>NBC1234</t>
  </si>
  <si>
    <t>Driver's License (upload)</t>
  </si>
  <si>
    <t>drivers_license.jpg (1.5 MB)</t>
  </si>
  <si>
    <t>drivers_license.png (2.0 MB)</t>
  </si>
  <si>
    <t>Vehicle OR/CR (upload)</t>
  </si>
  <si>
    <t>or_cr.pdf (900 KB)</t>
  </si>
  <si>
    <t>Password (set by the rider at activation)</t>
  </si>
  <si>
    <t>Rider@2026</t>
  </si>
  <si>
    <t>Hatid#Mark26</t>
  </si>
  <si>
    <t>Other values</t>
  </si>
  <si>
    <t>Spare emails for repeat attempts</t>
  </si>
  <si>
    <t>buyer.test01@example.com to buyer.test10@example.com (same pattern for seller.test, logistics.test and rider.test)</t>
  </si>
  <si>
    <t>Spare mobile numbers for repeat attempts</t>
  </si>
  <si>
    <t>09170000001 to 09170000020</t>
  </si>
  <si>
    <t>Admin account for approval tests</t>
  </si>
  <si>
    <t>Use the admin account already seeded in your system</t>
  </si>
  <si>
    <t>Courier: Created by an Approved logistics account (drives parcels from hub to hub)</t>
  </si>
  <si>
    <t>Courier</t>
  </si>
  <si>
    <t>Ernesto</t>
  </si>
  <si>
    <t>Rogelio</t>
  </si>
  <si>
    <t>Villareal</t>
  </si>
  <si>
    <t>Dimaculangan</t>
  </si>
  <si>
    <t>07/15/1988</t>
  </si>
  <si>
    <t>02/28/1985</t>
  </si>
  <si>
    <t>Valid email format; unique across all roles</t>
  </si>
  <si>
    <t>ernesto.villareal@example.com</t>
  </si>
  <si>
    <t>rogelio.dimaculangan@example.com</t>
  </si>
  <si>
    <t>09276543210</t>
  </si>
  <si>
    <t>09381122334</t>
  </si>
  <si>
    <t>A00-00-000000; unique across riders and couriers</t>
  </si>
  <si>
    <t>N02-15-345678</t>
  </si>
  <si>
    <t>D10-12-654321</t>
  </si>
  <si>
    <t>License Type</t>
  </si>
  <si>
    <t>Professional only</t>
  </si>
  <si>
    <t>Professional</t>
  </si>
  <si>
    <t>DL Codes</t>
  </si>
  <si>
    <t>Must cover the vehicle type (A18)</t>
  </si>
  <si>
    <t>B, B2, C</t>
  </si>
  <si>
    <t>B, B2</t>
  </si>
  <si>
    <t>07/15/2029</t>
  </si>
  <si>
    <t>02/28/2031</t>
  </si>
  <si>
    <t>Van, 4-Wheeler Closed Van Truck or 6-Wheeler Truck</t>
  </si>
  <si>
    <t>4-Wheeler Closed Van Truck</t>
  </si>
  <si>
    <t>Unique across riders and couriers</t>
  </si>
  <si>
    <t>NAB4521</t>
  </si>
  <si>
    <t>CAV7788</t>
  </si>
  <si>
    <t>Load Capacity (kg)</t>
  </si>
  <si>
    <t>Number</t>
  </si>
  <si>
    <t>Whole kg; Van 100–1,000, 4-Wheeler 100–4,000, 6-Wheeler 100–10,000</t>
  </si>
  <si>
    <t>3000</t>
  </si>
  <si>
    <t>800</t>
  </si>
  <si>
    <t>Home Hub</t>
  </si>
  <si>
    <t>Only the hubs of the logistics company creating the courier</t>
  </si>
  <si>
    <t>HUB-QC (Bilis Hatid QC First-Mile Hub)</t>
  </si>
  <si>
    <t>HUB-PSG (Bilis Hatid Pasig Main Hub)</t>
  </si>
  <si>
    <t>Professional Driver's License (upload)</t>
  </si>
  <si>
    <t>pro_license.jpg (1.4 MB)</t>
  </si>
  <si>
    <t>pro_license.png (2.1 MB)</t>
  </si>
  <si>
    <t>truck_or_cr.pdf (950 KB)</t>
  </si>
  <si>
    <t>NBI Clearance (upload)</t>
  </si>
  <si>
    <t>nbi_clearance.pdf (600 KB)</t>
  </si>
  <si>
    <t>Password (set by the courier at activation)</t>
  </si>
  <si>
    <t>Courier@2026</t>
  </si>
  <si>
    <t>Linehaul#Rog26</t>
  </si>
  <si>
    <t>Courier values</t>
  </si>
  <si>
    <t>Hubs to seed for the Home Hub field</t>
  </si>
  <si>
    <t>Logistics 1 (Bilis Hatid): HUB-QC QC First-Mile Hub, HUB-PSG Pasig Main Hub, HUB-STR Sta. Rosa Hub. Logistics 2 (Agila): HUB-DVO Davao Hub.</t>
  </si>
  <si>
    <t>Spare courier emails and mobile numbers</t>
  </si>
  <si>
    <t>courier.test03@example.com to courier.test10@example.com; 09170000021 to 09170000025</t>
  </si>
  <si>
    <t>Upload files to prepare</t>
  </si>
  <si>
    <t>Prepare these files before testing the document uploads. Use sample or blank documents, not anyone's real ID or certificate. The size limit is 5 MB, which is 5,120 KB or 5,242,880 bytes. Copy every file to the test phone before testing: PDFs and other documents to Files / Downloads, and images to Photos (gallery) so they can be picked from either place.</t>
  </si>
  <si>
    <t>File name</t>
  </si>
  <si>
    <t>Type</t>
  </si>
  <si>
    <t>Size</t>
  </si>
  <si>
    <t>Used for</t>
  </si>
  <si>
    <t>Expected result</t>
  </si>
  <si>
    <t>govt_id_front.jpg</t>
  </si>
  <si>
    <t>JPG</t>
  </si>
  <si>
    <t>1.2 MB</t>
  </si>
  <si>
    <t>Valid government ID</t>
  </si>
  <si>
    <t>Accept</t>
  </si>
  <si>
    <t>govt_id_front.png</t>
  </si>
  <si>
    <t>PNG</t>
  </si>
  <si>
    <t>2.4 MB</t>
  </si>
  <si>
    <t>Valid government ID in PNG</t>
  </si>
  <si>
    <t>dti_certificate.pdf</t>
  </si>
  <si>
    <t>PDF</t>
  </si>
  <si>
    <t>850 KB</t>
  </si>
  <si>
    <t>DTI Certificate of Business Name Registration</t>
  </si>
  <si>
    <t>dti_certificate_clear.pdf</t>
  </si>
  <si>
    <t>1.0 MB</t>
  </si>
  <si>
    <t>Replacement document for the resubmit test (seller)</t>
  </si>
  <si>
    <t>sec_certificate.pdf</t>
  </si>
  <si>
    <t>SEC Certificate of Registration</t>
  </si>
  <si>
    <t>bir_2303.pdf</t>
  </si>
  <si>
    <t>1.1 MB</t>
  </si>
  <si>
    <t>BIR Certificate of Registration (Form 2303)</t>
  </si>
  <si>
    <t>mayors_permit.pdf</t>
  </si>
  <si>
    <t>1.3 MB</t>
  </si>
  <si>
    <t>Mayor's / Business Permit</t>
  </si>
  <si>
    <t>mayors_permit_2026.pdf</t>
  </si>
  <si>
    <t>Replacement document for the resubmit test (logistics)</t>
  </si>
  <si>
    <t>drivers_license.jpg</t>
  </si>
  <si>
    <t>1.5 MB</t>
  </si>
  <si>
    <t>Rider's driver's license</t>
  </si>
  <si>
    <t>drivers_license.png</t>
  </si>
  <si>
    <t>2.0 MB</t>
  </si>
  <si>
    <t>Rider's driver's license in PNG</t>
  </si>
  <si>
    <t>drivers_license.pdf</t>
  </si>
  <si>
    <t>700 KB</t>
  </si>
  <si>
    <t>Rider's driver's license in PDF</t>
  </si>
  <si>
    <t>or_cr.pdf</t>
  </si>
  <si>
    <t>900 KB</t>
  </si>
  <si>
    <t>Vehicle Official Receipt and Certificate of Registration</t>
  </si>
  <si>
    <t>size_4.9MB.jpg</t>
  </si>
  <si>
    <t>4.9 MB (5,138,022 bytes)</t>
  </si>
  <si>
    <t>Just under the size limit</t>
  </si>
  <si>
    <t>size_5.0MB.jpg</t>
  </si>
  <si>
    <t>5.0 MB (5,242,880 bytes)</t>
  </si>
  <si>
    <t>Exactly at the size limit</t>
  </si>
  <si>
    <t>size_5.1MB.jpg</t>
  </si>
  <si>
    <t>5.1 MB (5,347,738 bytes)</t>
  </si>
  <si>
    <t>Just over the size limit</t>
  </si>
  <si>
    <t>Reject</t>
  </si>
  <si>
    <t>price_list.docx</t>
  </si>
  <si>
    <t>DOCX</t>
  </si>
  <si>
    <t>320 KB</t>
  </si>
  <si>
    <t>Wrong file type (Word document)</t>
  </si>
  <si>
    <t>store_banner.gif</t>
  </si>
  <si>
    <t>GIF</t>
  </si>
  <si>
    <t>480 KB</t>
  </si>
  <si>
    <t>Wrong file type (GIF image)</t>
  </si>
  <si>
    <t>installer.exe</t>
  </si>
  <si>
    <t>EXE</t>
  </si>
  <si>
    <t>2.1 MB</t>
  </si>
  <si>
    <t>Wrong file type (program)</t>
  </si>
  <si>
    <t>pro_license.jpg</t>
  </si>
  <si>
    <t>1.4 MB</t>
  </si>
  <si>
    <t>Courier's professional driver's license</t>
  </si>
  <si>
    <t>pro_license.png</t>
  </si>
  <si>
    <t>Courier's professional driver's license in PNG</t>
  </si>
  <si>
    <t>truck_or_cr.pdf</t>
  </si>
  <si>
    <t>950 KB</t>
  </si>
  <si>
    <t>Courier's truck Official Receipt and Certificate of Registration</t>
  </si>
  <si>
    <t>nbi_clearance.pdf</t>
  </si>
  <si>
    <t>600 KB</t>
  </si>
  <si>
    <t>Courier's NBI Clearance</t>
  </si>
  <si>
    <t>incident_photo.jpg</t>
  </si>
  <si>
    <t>Courier breakdown report / damaged parcel at unloading</t>
  </si>
  <si>
    <t>(take with the phone camera)</t>
  </si>
  <si>
    <t>JPG / HEIC</t>
  </si>
  <si>
    <t>Often 3–12 MB at full resolution</t>
  </si>
  <si>
    <t>Camera photo taken inside the app</t>
  </si>
  <si>
    <t>Compressed to 5 MB or less and accepted, or rejected with a size message (M7)</t>
  </si>
  <si>
    <t>(screenshot taken on the phone)</t>
  </si>
  <si>
    <t>Usually under 1 MB</t>
  </si>
  <si>
    <t>Image picked from the gallery</t>
  </si>
  <si>
    <t>Assumptions used in the test cases</t>
  </si>
  <si>
    <t>These rules are modeled on Philippine marketplaces, not taken from your actual system. Write your real rule in column D where it differs, then filter the Assumption Ref column on each role sheet to find the test cases to adjust. A17 and A18 cover the Courier role. M1 to M12 are the mobile-app rules used by the [Mobile] cases.</t>
  </si>
  <si>
    <t>Ref</t>
  </si>
  <si>
    <t>Topic</t>
  </si>
  <si>
    <t>Assumed rule</t>
  </si>
  <si>
    <t>Your system's actual rule (fill in if different)</t>
  </si>
  <si>
    <t>A1</t>
  </si>
  <si>
    <t>Form fields</t>
  </si>
  <si>
    <t>Each role's form has the fields listed on the Test Data sheet, modeled on Philippine marketplaces. Payout details (bank or e-wallet) are set up after approval, not during registration.</t>
  </si>
  <si>
    <t>Code review 2026-10-24: Logistics-created riders additionally require username, sex, barangay, operational hub, logistics-set password and vehicle ownership. License number, plate and document uploads are absent from that form.</t>
  </si>
  <si>
    <t>A2</t>
  </si>
  <si>
    <t>Name rule</t>
  </si>
  <si>
    <t>2 to 50 characters. Letters (including ñ), spaces, hyphen, apostrophe and period only.</t>
  </si>
  <si>
    <t>Code review 2026-10-24: Logistics account form: 2-50 characters; letters and hyphens only. Spaces, apostrophes and periods are rejected.</t>
  </si>
  <si>
    <t>A3</t>
  </si>
  <si>
    <t>Email rule</t>
  </si>
  <si>
    <t>Must be a valid email format. Unique across all roles (one email = one account). Not case-sensitive. Leading and trailing spaces are removed.</t>
  </si>
  <si>
    <t>Code review 2026-10-24: Email format and users-table uniqueness validation exist; exact case/whitespace behavior requires execution.</t>
  </si>
  <si>
    <t>A4</t>
  </si>
  <si>
    <t>Mobile number rule</t>
  </si>
  <si>
    <t>Philippine mobile number entered as 09XXXXXXXXX (11 digits) or +639XXXXXXXXX. Both forms are stored as the same number. Unique across all accounts.</t>
  </si>
  <si>
    <t>Code review 2026-10-24: Philippine mobile normalization and users-table uniqueness exist. UI displays +63 and accepts ten national digits; server normalizes to 09 format.</t>
  </si>
  <si>
    <t>A5</t>
  </si>
  <si>
    <t>Password rule</t>
  </si>
  <si>
    <t>At least 8 characters with at least one uppercase letter, one lowercase letter, one number and one special character. Confirm Password must match.</t>
  </si>
  <si>
    <t>Code review 2026-10-24: Logistics-created account passwords: 12-128 characters, confirmed. No uppercase/lowercase/number/special composition rule in accountData. No rider activation password form.</t>
  </si>
  <si>
    <t>A6</t>
  </si>
  <si>
    <t>Date of birth rule</t>
  </si>
  <si>
    <t>Buyers and riders must be at least 18 years old on the day of registration. A future date is not allowed.</t>
  </si>
  <si>
    <t>Code review 2026-10-24: Rider account creation requires age 18 or older.</t>
  </si>
  <si>
    <t>A7</t>
  </si>
  <si>
    <t>Address rule</t>
  </si>
  <si>
    <t>Region, Province, City/Municipality and Barangay are linked dropdowns: each list depends on the one before it. Postal Code is exactly 4 digits.</t>
  </si>
  <si>
    <t>A8</t>
  </si>
  <si>
    <t>TIN rule</t>
  </si>
  <si>
    <t>12 digits in the form 000-000-000-000 (9-digit TIN plus 3-digit branch code). Unique across seller and logistics accounts.</t>
  </si>
  <si>
    <t>A9</t>
  </si>
  <si>
    <t>Email verification (OTP)</t>
  </si>
  <si>
    <t>A 6-digit numeric code is emailed after registration. It is valid for 5 minutes. Resending creates a new code and cancels the old one. An account cannot be used until it is verified.</t>
  </si>
  <si>
    <t>A10</t>
  </si>
  <si>
    <t>Document upload rule</t>
  </si>
  <si>
    <t>Accepted file types: JPG, PNG, PDF. Maximum size: 5 MB (5,120 KB) per file.</t>
  </si>
  <si>
    <t>Code review 2026-10-24: No rider license/OR-CR upload support in logistics account creation. Do not infer support from other registration/upload flows.</t>
  </si>
  <si>
    <t>A11</t>
  </si>
  <si>
    <t>Seller documents by seller type</t>
  </si>
  <si>
    <t>Individual: Government-issued ID. Sole Proprietorship: Government-issued ID, DTI Certificate and BIR Form 2303. Corporation: Government-issued ID of the representative, SEC Certificate and BIR Form 2303.</t>
  </si>
  <si>
    <t>A12</t>
  </si>
  <si>
    <t>Account status flow</t>
  </si>
  <si>
    <t>Buyer: Unverified, then Active after OTP. Seller and Logistics: Unverified, then Pending Approval after OTP, then Approved or Rejected by an admin. A rejected applicant can correct the details and resubmit.</t>
  </si>
  <si>
    <t>A13</t>
  </si>
  <si>
    <t>Rider account flow</t>
  </si>
  <si>
    <t>Riders cannot register themselves. Only an Approved logistics account can create a rider. The rider starts as Pending Activation and becomes Active after setting a password through an emailed activation link, which is valid for 24 hours and opens the app's Set Password screen (or a mobile web page if the app is not installed). Riders do not need separate admin approval.</t>
  </si>
  <si>
    <t>Code review 2026-10-24: Public rider self-registration exists. Logistics can also create riders with a password. New accounts start pending and use recruitment approval; no emailed Pending Activation-to-Active flow.</t>
  </si>
  <si>
    <t>A14</t>
  </si>
  <si>
    <t>Unique business identifiers</t>
  </si>
  <si>
    <t>Shop Name (3 to 30 characters), Company Name, SEC Registration No. (2 letters followed by 9 digits), Driver's License No. and Plate Number must each be unique.</t>
  </si>
  <si>
    <t>Code review 2026-10-24: Email/mobile uniqueness exists in logistics account creation. License and plate fields/checks are absent there; separate public registration has checks.</t>
  </si>
  <si>
    <t>A15</t>
  </si>
  <si>
    <t>Driver's license rule</t>
  </si>
  <si>
    <t>License number follows the LTO form A00-00-000000 (1 letter and 11 digits). The expiry date must be today or a later date.</t>
  </si>
  <si>
    <t>Code review 2026-10-24: Logistics account creation checks expiry today or later, but has no license-number input or format validation.</t>
  </si>
  <si>
    <t>A16</t>
  </si>
  <si>
    <t>Role-based access</t>
  </si>
  <si>
    <t>Each role can open only its own screens. The app shows only that role's screens. Opening another role's screen through a deep link, or sending its API request directly, is denied (401/403, an access-denied screen or a redirect to home).</t>
  </si>
  <si>
    <t>Code review 2026-10-24: Server role and approval checks exist; direct-request and deep-link execution is still required.</t>
  </si>
  <si>
    <t>A17</t>
  </si>
  <si>
    <t>Courier account flow</t>
  </si>
  <si>
    <t>Couriers drive parcels from one hub to another (linehaul); riders still do pickups and deliveries. Couriers cannot register themselves. Only an Approved logistics account can create a courier, and it picks the courier's home hub from its own hubs. The courier starts as Pending Activation and becomes Active after setting a password through an emailed activation link, valid for 24 hours, which opens the app's Set Password screen (or a mobile web page if the app is not installed). Couriers do not need separate admin approval. Courier and rider are separate roles: one email or mobile number cannot be used for both.</t>
  </si>
  <si>
    <t>Code review 2026-10-24: Outside the 47-case Rider sheet review. Courier references in shared supporting sheets are not assessed as a separate role.</t>
  </si>
  <si>
    <t>A18</t>
  </si>
  <si>
    <t>Courier license and vehicle rule</t>
  </si>
  <si>
    <t>Only a Professional driver's license is accepted. The license number follows A00-00-000000 and is unique across riders and couriers; the expiry date must be today or later. The DL codes must cover the vehicle: Van needs B or B2; 4-Wheeler Closed Van Truck and 6-Wheeler Truck need C. Load capacity is a whole number of kg: Van 100–1,000; 4-Wheeler Closed Van Truck 100–4,000; 6-Wheeler Truck 100–10,000. The plate number is unique across riders and couriers. Required uploads: Professional Driver's License, Vehicle OR/CR and NBI Clearance (JPG, PNG or PDF, max 5 MB each).</t>
  </si>
  <si>
    <t>Code review 2026-10-24: Outside the 47-case Rider sheet review; no Courier test sheet supplied.</t>
  </si>
  <si>
    <t>M1</t>
  </si>
  <si>
    <t>Mobile app under test</t>
  </si>
  <si>
    <t>The system is tested as a mobile app (Android and/or iOS) installed from an APK, TestFlight or store build. Record the phone model, OS version and app build on the Summary sheet. Admin-only steps (approvals, platform vouchers) may stay on a web admin panel; run those steps there.</t>
  </si>
  <si>
    <t>Code review 2026-10-24: Current Flutter mobile app is a logistics scanner for approved logistics admin/hub staff. It does not contain Rider account creation, activation or dashboard screens.</t>
  </si>
  <si>
    <t>M2</t>
  </si>
  <si>
    <t>Keyboard and input</t>
  </si>
  <si>
    <t>Each field opens the keyboard that fits it: email keyboard (with @) for Email; number pad for Mobile Number, OTP, Postal Code, TIN, quantity and stock; decimal pad for prices and weight. Password fields show no autocorrect or suggestions. The keyboard never hides the focused field or the main button.</t>
  </si>
  <si>
    <t>Code review 2026-10-24: Web form has email/tel input types; remaining keyboard/visibility behavior requires physical-device testing.</t>
  </si>
  <si>
    <t>M3</t>
  </si>
  <si>
    <t>OTP entry on the phone</t>
  </si>
  <si>
    <t>The OTP field accepts a pasted 6-digit code (filling every box when the field is split into boxes) and supports the phone's one-time-code autofill where available. The expiry countdown is based on the time the code was sent, so it keeps running while the user is in the mail app.</t>
  </si>
  <si>
    <t>M4</t>
  </si>
  <si>
    <t>Interruptions</t>
  </si>
  <si>
    <t>Sending the app to the background (Home, switching apps, an incoming call, locking the screen) and returning keeps the current screen and the typed values (passwords may be cleared). Rotating the phone is either blocked (portrait only) or keeps every value. Nothing is submitted unless the user taps the button.</t>
  </si>
  <si>
    <t>Code review 2026-10-24: Not exercised on a physical device.</t>
  </si>
  <si>
    <t>M5</t>
  </si>
  <si>
    <t>No internet or a dropped connection</t>
  </si>
  <si>
    <t>With no connection the app shows a clear no-internet message with Retry, never crashes or freezes, and never shows success for something the server did not save. Saving an action offline and sending it later is allowed only if the app shows it as pending, and it is sent exactly once. Write in column D whether your app blocks or queues offline actions.</t>
  </si>
  <si>
    <t>Code review 2026-10-24: No custom offline handling/idempotency found in Create Rider web form. Existing scanner queue applies to barcode scans only.</t>
  </si>
  <si>
    <t>M6</t>
  </si>
  <si>
    <t>Phone permissions</t>
  </si>
  <si>
    <t>Camera, photos/files, location and notifications are requested only when first needed, with a reason. If a permission is denied, the app explains why it is needed, offers a link to the phone's Settings, keeps working for everything that does not need it, and never crashes.</t>
  </si>
  <si>
    <t>Code review 2026-10-24: No rider-document upload permission flow in logistics Create Rider form.</t>
  </si>
  <si>
    <t>M7</t>
  </si>
  <si>
    <t>Picking and capturing files</t>
  </si>
  <si>
    <t>Each upload offers Camera, Gallery/Photos and, for PDFs, Files. The type and size rules (A10 / A16) apply to every source. Camera photos larger than 5 MB are compressed to 5 MB or less before upload. Copy the Test Files to the phone before testing.</t>
  </si>
  <si>
    <t>Code review 2026-10-24: No camera/gallery/Files rider document upload in logistics Create Rider form.</t>
  </si>
  <si>
    <t>M8</t>
  </si>
  <si>
    <t>Back navigation</t>
  </si>
  <si>
    <t>The Android Back button and iOS swipe-back go to the previous screen. Leaving a form with unsaved changes asks the user to confirm discarding them. After logging out, Back never shows a logged-in screen.</t>
  </si>
  <si>
    <t>Code review 2026-10-24: No unsaved-form navigation guard found in account form. Logout/Back behavior requires device testing.</t>
  </si>
  <si>
    <t>M9</t>
  </si>
  <si>
    <t>Login session on the phone</t>
  </si>
  <si>
    <t>The app stays logged in after it is closed, reopened or the phone restarts, until the user logs out, the password is changed (which also ends the session on the user's other phones), or the session token expires.</t>
  </si>
  <si>
    <t>Code review 2026-10-24: No Rider session in current Flutter scanner app. Rider web login persistence and logout require execution.</t>
  </si>
  <si>
    <t>M10</t>
  </si>
  <si>
    <t>Push notifications</t>
  </si>
  <si>
    <t>Status changes, approvals and chat messages also send a push notification to the phone of each user involved, and to no one else. Tapping a notification opens the related screen, even if the app was closed. If notifications are turned off in phone Settings, the in-app notification list still works.</t>
  </si>
  <si>
    <t>M11</t>
  </si>
  <si>
    <t>Deep links and direct requests</t>
  </si>
  <si>
    <t>Share links and email links (activation, product, store) open the matching screen in the app, or a mobile web page if the app is not installed. Access rules are enforced by the server: a deep link or a direct API request for another role's or another user's data is refused (401/403, an access-denied screen or a redirect to home). Cases that capture or send a request directly need a proxy tool on the test phone (for example HTTP Toolkit, Charles or mitmproxy). If your group cannot capture app traffic, mark those cases Blocked and write 'no proxy' in Remarks.</t>
  </si>
  <si>
    <t>Code review 2026-10-24: Server role guards exist. No rider activation deep link or fallback set-password page found.</t>
  </si>
  <si>
    <t>M12</t>
  </si>
  <si>
    <t>Screen size and display</t>
  </si>
  <si>
    <t>Every screen works on a small phone (about 5.5 in) and a large one (about 6.7 in), in light and dark mode, and with the largest system font: no cut-off text, no overlapping controls, and no buttons hidden behind the keyboard.</t>
  </si>
  <si>
    <t>Code review 2026-10-24: Small/large screens, theme and largest system font were not tested.</t>
  </si>
  <si>
    <t>Module</t>
  </si>
  <si>
    <t>Technique</t>
  </si>
  <si>
    <t>Priority</t>
  </si>
  <si>
    <t>Preconditions</t>
  </si>
  <si>
    <t>Test Steps</t>
  </si>
  <si>
    <t>Test Data</t>
  </si>
  <si>
    <t>Assumption Ref</t>
  </si>
  <si>
    <t>TC-RID-001</t>
  </si>
  <si>
    <t>Add Rider Form</t>
  </si>
  <si>
    <t>Create a rider with all valid data</t>
  </si>
  <si>
    <t>High</t>
  </si>
  <si>
    <t>The Approved logistics account operations@bilishatid.example.com is logged in and the Add Rider form is open. The email, mobile number, license number and plate number in the test data are not yet registered.</t>
  </si>
  <si>
    <t>1. Fill in every field with the test data.
2. Tap Save.</t>
  </si>
  <si>
    <t>First Name: Pedro Jose
Last Name: Garcia
Date of Birth: 03/22/1995
Email: pedrojose.garcia@example.com
Mobile Number: 09451239876
Driver's License No.: N01-23-456789
License Expiry Date: 03/22/2030
Vehicle Type: Motorcycle
Plate Number: 123ABC
Driver's License (upload): drivers_license.jpg (1.5 MB)
Vehicle OR/CR (upload): or_cr.pdf (900 KB)</t>
  </si>
  <si>
    <t>The rider is saved with no validation errors and appears in the rider list of Bilis Hatid Express Inc. with status Pending Activation. An activation email is sent to pedrojose.garcia@example.com.</t>
  </si>
  <si>
    <t>A1, A13</t>
  </si>
  <si>
    <t>.</t>
  </si>
  <si>
    <t>TC-RID-002</t>
  </si>
  <si>
    <t>Required Fields</t>
  </si>
  <si>
    <t>Submit a completely empty form</t>
  </si>
  <si>
    <t>The Approved logistics account operations@bilishatid.example.com is logged in and the Add Rider form is open.</t>
  </si>
  <si>
    <t>1. Leave every field blank and every dropdown on its default option.
2. Tap Save.</t>
  </si>
  <si>
    <t>All fields blank</t>
  </si>
  <si>
    <t>Saving is blocked. A required-field message is shown for every mandatory field. No rider is created and no email is sent.</t>
  </si>
  <si>
    <t>I submitted the Add Rider form with all fields empty. The website kept me on the form and showed required-field messages. No rider was added.</t>
  </si>
  <si>
    <t>The empty-form validation worked as expected.</t>
  </si>
  <si>
    <t>TC-RID-003</t>
  </si>
  <si>
    <t>Leave one required field blank at a time</t>
  </si>
  <si>
    <t>1. Fill in all fields with valid data.
2. Clear one required field.
3. Tap Save.
4. Repeat for each field in the test data.</t>
  </si>
  <si>
    <t>Clear in turn:
First Name
Last Name
Date of Birth
Email
Mobile Number
Driver's License No.
License Expiry Date
Vehicle Type
Plate Number
Driver's License (upload)
Vehicle OR/CR (upload)</t>
  </si>
  <si>
    <t>Each time, saving is blocked and a required-field message is shown on the blank field only. Other entered values (except uploads) are kept. No rider is created.</t>
  </si>
  <si>
    <t>I advanced through the Rider registration steps and selected My Own Vehicle. License number, license expiry, license upload, plate number, OR, and CR then appeared. Submitting without each one produced a required-field message.</t>
  </si>
  <si>
    <t>The required Rider fields are present in later steps and are correctly enforced.</t>
  </si>
  <si>
    <t>TC-RID-004</t>
  </si>
  <si>
    <t>Name</t>
  </si>
  <si>
    <t>Name with numbers or symbols</t>
  </si>
  <si>
    <t>Medium</t>
  </si>
  <si>
    <t>1. Fill in all other fields with valid data.
2. Enter the test data in the name fields.
3. Tap Save.</t>
  </si>
  <si>
    <t>First Name: Pedro Jose99
Last Name: Dela Cruz@#</t>
  </si>
  <si>
    <t>Saving is blocked. A message on each name field says only letters are allowed.</t>
  </si>
  <si>
    <t>Names containing numbers or unsupported symbols were rejected with a validation message.</t>
  </si>
  <si>
    <t>Invalid name characters were blocked as expected.</t>
  </si>
  <si>
    <t>TC-RID-005</t>
  </si>
  <si>
    <t>Name length at the limits</t>
  </si>
  <si>
    <t>1. Fill in all other fields with valid data.
2. Enter each first name in the test data, one per attempt.
3. Tap Save.</t>
  </si>
  <si>
    <t>1 character: P (reject)
2 characters: Po (accept)
50 characters: Maria Cristina Angelica Bernadette Josefina Leonor (accept)
51 characters: Maria Cristina Angelica Bernadette Josefina Leonora (reject)</t>
  </si>
  <si>
    <t>1 and 51 characters are rejected with a length message. 2 and 50 characters are accepted.</t>
  </si>
  <si>
    <t>Two-character and 50-character single-word names were accepted, but a valid multi-word name within the limit was rejected.</t>
  </si>
  <si>
    <t>The length boundary works, but spaces in valid names are incorrectly blocked.</t>
  </si>
  <si>
    <t>TC-RID-006</t>
  </si>
  <si>
    <t>Age at the 18-year limit</t>
  </si>
  <si>
    <t>1. Fill in all other fields with valid data.
2. Enter each date of birth in the test data, one per attempt.
3. Tap Save.</t>
  </si>
  <si>
    <t>The 17-year-old date is rejected with a message that the person must be at least 18. The other two dates are accepted.</t>
  </si>
  <si>
    <t>A rider exactly 18 years old and one day older were accepted. A rider one day younger than 18 was rejected.</t>
  </si>
  <si>
    <t>The age boundary worked as expected using the test date.</t>
  </si>
  <si>
    <t>TC-RID-007</t>
  </si>
  <si>
    <t>Email in an invalid format</t>
  </si>
  <si>
    <t>1. Fill in all other fields with valid data.
2. Enter each email in the test data, one per attempt.
3. Tap Save.</t>
  </si>
  <si>
    <t>pedrojose.garciaexample.com (no @)
pedrojose.garcia@ (no domain)
@example.com (no name)
pedrojose.garcia@example (no .com)
pedrojose garcia@example.com (space)</t>
  </si>
  <si>
    <t>Each value is rejected with a message asking for a valid email address. No rider is created.</t>
  </si>
  <si>
    <t>Most malformed email addresses were rejected, but pedrojose.garcia@example was accepted.</t>
  </si>
  <si>
    <t>accepted an address without a normal top-level domain.</t>
  </si>
  <si>
    <t>TC-RID-008</t>
  </si>
  <si>
    <t>Email already used by an account of another role</t>
  </si>
  <si>
    <t>The Approved logistics account operations@bilishatid.example.com is logged in and the Add Rider form is open. The buyer account juanmiguel.delacruz@example.com already exists.</t>
  </si>
  <si>
    <t>1. Fill in all other fields with valid data.
2. Enter the existing email.
3. Tap Save.</t>
  </si>
  <si>
    <t>Email: juanmiguel.delacruz@example.com</t>
  </si>
  <si>
    <t>Saving is blocked. A message says the email is already in use. No rider is created.</t>
  </si>
  <si>
    <t>I entered an email already used by another account. The website displayed that the email was already registered and did not add the rider.</t>
  </si>
  <si>
    <t>Duplicate email protection worked as expected.</t>
  </si>
  <si>
    <t>TC-RID-009</t>
  </si>
  <si>
    <t>Mobile number in an invalid format</t>
  </si>
  <si>
    <t>1. Fill in all other fields with valid data.
2. Enter each mobile number in the test data, one per attempt.
3. Tap Save.</t>
  </si>
  <si>
    <t>0917ABC4567 (letters)
0917-123-456 (symbols, too short)
12345678901 (does not start with 09)
02-8123-4567 (landline)</t>
  </si>
  <si>
    <t>Each value is rejected with a message asking for a valid mobile number.</t>
  </si>
  <si>
    <t>Letters, punctuation, a landline number, and other invalid mobile-number formats were rejected.</t>
  </si>
  <si>
    <t>Invalid mobile-number formats were blocked.</t>
  </si>
  <si>
    <t>TC-RID-010</t>
  </si>
  <si>
    <t>Mobile number length at the limits</t>
  </si>
  <si>
    <t>10 digits: 0917123456 (reject)
11 digits: 09170000001 (accept)
12 digits: 091712345678 (reject)</t>
  </si>
  <si>
    <t>10 and 12 digits are rejected with a length message. 11 digits is accepted.</t>
  </si>
  <si>
    <t>A 10-digit mobile number was rejected, an 11-digit Philippine mobile number was accepted, and a 12-digit number was rejected.</t>
  </si>
  <si>
    <t>The mobile-number length boundary worked as expected.</t>
  </si>
  <si>
    <t>TC-RID-011</t>
  </si>
  <si>
    <t>Mobile number that is already registered</t>
  </si>
  <si>
    <t>The Approved logistics account operations@bilishatid.example.com is logged in and the Add Rider form is open. An account already exists with mobile number 09171234567.</t>
  </si>
  <si>
    <t>1. Fill in all other fields with valid data.
2. Enter the existing mobile number.
3. Tap Save.</t>
  </si>
  <si>
    <t>Mobile: 09171234567</t>
  </si>
  <si>
    <t>Saving is blocked. A message says the mobile number is already in use.</t>
  </si>
  <si>
    <t>I tried a mobile number already used by another account in both 09 and +63 forms. Both attempts were rejected as duplicates.</t>
  </si>
  <si>
    <t>Equivalent Philippine number formats were treated as the same number.</t>
  </si>
  <si>
    <t>TC-RID-012</t>
  </si>
  <si>
    <t>License and Vehicle</t>
  </si>
  <si>
    <t>Driver's license number in an invalid format</t>
  </si>
  <si>
    <t>1. Fill in all other fields with valid data.
2. Enter each license number in the test data, one per attempt.
3. Tap Save.</t>
  </si>
  <si>
    <t>N01-23-45678 (one digit short)
N01-23-4567890 (one digit extra)
101-23-456789 (no letter)
N0123456789X (letter at the end)</t>
  </si>
  <si>
    <t>Each value is rejected with a message showing the format A00-00-000000.</t>
  </si>
  <si>
    <t>TC-RID-013</t>
  </si>
  <si>
    <t>Driver's license number already registered</t>
  </si>
  <si>
    <t>The Approved logistics account operations@bilishatid.example.com is logged in and the Add Rider form is open. The rider pedrojose.garcia@example.com already exists.</t>
  </si>
  <si>
    <t>1. Fill in all other fields with valid data.
2. Enter the existing license number.
3. Tap Save.</t>
  </si>
  <si>
    <t>Driver's License No.: N01-23-456789</t>
  </si>
  <si>
    <t>Saving is blocked. A message says the license number is already registered.</t>
  </si>
  <si>
    <t>I entered a driverâ€™s license number already used by another account. The Rider registration page reported that it was unavailable and did not accept it.</t>
  </si>
  <si>
    <t>Duplicate driverâ€™s license checking worked after the License step was opened.</t>
  </si>
  <si>
    <t>TC-RID-014</t>
  </si>
  <si>
    <t>License expiry date at the limit</t>
  </si>
  <si>
    <t>1. Fill in all other fields with valid data.
2. Enter each expiry date in the test data, one per attempt.
3. Tap Save.</t>
  </si>
  <si>
    <t>Yesterday's date is rejected with a message that the license is expired. Today's and tomorrow's dates are accepted.</t>
  </si>
  <si>
    <t>Yesterday was rejected as an expired license date. Today and tomorrow were accepted.</t>
  </si>
  <si>
    <t>The license-expiry boundary worked as expected.</t>
  </si>
  <si>
    <t>TC-RID-015</t>
  </si>
  <si>
    <t>Plate number already registered</t>
  </si>
  <si>
    <t>1. Fill in all other fields with valid data.
2. Enter the existing plate number.
3. Tap Save.</t>
  </si>
  <si>
    <t>Plate Number: 123ABC</t>
  </si>
  <si>
    <t>Saving is blocked. A message says the plate number is already registered.</t>
  </si>
  <si>
    <t>After selecting My Own Vehicle, I entered a plate number already used by another account. The Rider registration page reported that it was unavailable.</t>
  </si>
  <si>
    <t>Duplicate plate-number checking worked in the revealed Vehicle step.</t>
  </si>
  <si>
    <t>TC-RID-016</t>
  </si>
  <si>
    <t>Document Upload</t>
  </si>
  <si>
    <t>Upload documents in each accepted file type</t>
  </si>
  <si>
    <t>1. Fill in all other fields with valid data.
2. Upload the files in the test data.
3. Tap Save.</t>
  </si>
  <si>
    <t>Driver's License: drivers_license.jpg (1.5 MB), then drivers_license.png (2.0 MB), then drivers_license.pdf (700 KB)
Vehicle OR/CR: or_cr.pdf (900 KB)</t>
  </si>
  <si>
    <t>Each file is accepted and its name or preview is shown. The rider is saved.</t>
  </si>
  <si>
    <t>I opened the hidden License and Vehicle steps and submitted supported JPG, PNG, and PDF documents. Registration completed successfully and the new rider was saved as pending.</t>
  </si>
  <si>
    <t>The upload controls work; they appear after the Rider advances to License and selects â€œMy Own Vehicle.â€</t>
  </si>
  <si>
    <t>TC-RID-017</t>
  </si>
  <si>
    <t>Upload a file type that is not accepted</t>
  </si>
  <si>
    <t>1. Fill in all other fields with valid data.
2. Try to upload each file in the test data to Driver's License, one per attempt.
3. Tap Save.</t>
  </si>
  <si>
    <t>price_list.docx (320 KB)
store_banner.gif (480 KB)
installer.exe (2.1 MB)</t>
  </si>
  <si>
    <t>Each file is rejected with a message listing the accepted types (JPG, PNG, PDF). No rider is created.</t>
  </si>
  <si>
    <t>I tried to upload a TXT file as the driverâ€™s license. Registration rejected it and stated that only JPG, JPEG, PNG, or PDF files are accepted.</t>
  </si>
  <si>
    <t>Unsupported rider-document files were rejected as expected.</t>
  </si>
  <si>
    <t>TC-RID-018</t>
  </si>
  <si>
    <t>File size at the limit</t>
  </si>
  <si>
    <t>1. Fill in all other fields with valid data.
2. Upload each file in the test data to Driver's License, one per attempt.
3. Tap Save.</t>
  </si>
  <si>
    <t>size_4.9MB.jpg (accept)
size_5.0MB.jpg, exactly 5,120 KB (accept)
size_5.1MB.jpg (reject)</t>
  </si>
  <si>
    <t>The 4.9 MB and 5.0 MB files are accepted. The 5.1 MB file is rejected with a maximum-size message.</t>
  </si>
  <si>
    <t>The upload flow accepts files within the limit, but a 5.1 MB image was compressed and accepted instead of being rejected with the maximum-size message required by this case.</t>
  </si>
  <si>
    <t>The upload feature works, but its oversized-image behavior differs from this test case. TC-RID-042 separately allows compression and passes.</t>
  </si>
  <si>
    <t>TC-RID-019</t>
  </si>
  <si>
    <t>Tap Save several times quickly</t>
  </si>
  <si>
    <t>1. Fill in all fields with the Account 2 data from the Test Data sheet.
2. Tap Save three times in quick succession.</t>
  </si>
  <si>
    <t>Account 2 data (Test Data sheet, column G)</t>
  </si>
  <si>
    <t>Only one rider is created and only one activation email is sent.</t>
  </si>
  <si>
    <t>I opened the Add Rider page, but I could not reliably reproduce two simultaneous taps using this non-interactive test session.</t>
  </si>
  <si>
    <t>Can't click twice because the button is auto-disabled while loading.</t>
  </si>
  <si>
    <t>TC-RID-020</t>
  </si>
  <si>
    <t>Account Activation</t>
  </si>
  <si>
    <t>Rider activates the account with a valid password</t>
  </si>
  <si>
    <t>The rider pedrojose.garcia@example.com has status Pending Activation and the activation email has been read from the mail catcher.</t>
  </si>
  <si>
    <t>1. On the rider's phone, open the activation link from the email within 24 hours.
2. Enter and confirm the password.
3. Tap Activate.</t>
  </si>
  <si>
    <t>Password: Rider@2026
Confirm Password: Rider@2026</t>
  </si>
  <si>
    <t>The password is saved. The rider's status changes from Pending Activation to Active, and the login screen opens with a success message.</t>
  </si>
  <si>
    <t>A5, A13</t>
  </si>
  <si>
    <t>After a logistics administrator creates a rider, it does not send the rider to a Set Password activation page. The administrator is asked to enter the password on the Add Rider form instead.</t>
  </si>
  <si>
    <t>The expected rider activation and password-setup journey is not available.</t>
  </si>
  <si>
    <t>TC-RID-021</t>
  </si>
  <si>
    <t>Set a password that breaks the password rule</t>
  </si>
  <si>
    <t>1. Open the activation link.
2. Enter each password in both fields, one per attempt.
3. Tap Activate.</t>
  </si>
  <si>
    <t>7 characters: Ride@26
No uppercase: rider@2026
No lowercase: RIDER@2026
No number: Rider@abcd
No special character: Rider2026</t>
  </si>
  <si>
    <t>Each password is rejected with a message stating the password rule. The rider stays Pending Activation.</t>
  </si>
  <si>
    <t>There is no rider Set Password activation screen where weak-password combinations can be tested.</t>
  </si>
  <si>
    <t>The activation password rules cannot work as described because the activation flow is missing.</t>
  </si>
  <si>
    <t>TC-RID-022</t>
  </si>
  <si>
    <t>Confirm Password does not match</t>
  </si>
  <si>
    <t>1. Open the activation link.
2. Enter the test data in Password and Confirm Password.
3. Tap Activate.</t>
  </si>
  <si>
    <t>Password: Rider@2026
Confirm Password: Rider@2027</t>
  </si>
  <si>
    <t>Activation is blocked. A message says the passwords do not match.</t>
  </si>
  <si>
    <t>There is no rider activation password form, so Password and Confirm Password cannot be compared during activation.</t>
  </si>
  <si>
    <t>Password confirmation during rider activation is missing.</t>
  </si>
  <si>
    <t>TC-RID-023</t>
  </si>
  <si>
    <t>Open an expired activation link</t>
  </si>
  <si>
    <t>1. Wait until more than 24 hours have passed since the email was sent (or set the link's expiry time back in the test database).
2. Open the activation link.</t>
  </si>
  <si>
    <t>Activation link sent 24 hours and 1 minute ago</t>
  </si>
  <si>
    <t>A message says the link has expired. No password can be set and the rider stays Pending Activation.</t>
  </si>
  <si>
    <t>No rider activation link is issued by the Add Rider journey, so there is no link to test after 23 hours.</t>
  </si>
  <si>
    <t>The 24-hour activation-link behavior is missing.</t>
  </si>
  <si>
    <t>TC-RID-024</t>
  </si>
  <si>
    <t>Logistics resends the activation email</t>
  </si>
  <si>
    <t>The rider pedrojose.garcia@example.com has status Pending Activation. The logistics account operations@bilishatid.example.com is logged in.</t>
  </si>
  <si>
    <t>1. Open the rider list.
2. Tap Resend Activation for Pedro Jose Garcia.
3. Open the first link.
4. Open the second link.</t>
  </si>
  <si>
    <t>First activation link, then the link from the second email</t>
  </si>
  <si>
    <t>A new activation email is sent. The first link no longer works. The second link opens the set-password screen.</t>
  </si>
  <si>
    <t>No rider activation link is issued by the Add Rider journey, so an expired-link message could not be reached.</t>
  </si>
  <si>
    <t>Expired activation-link handling is missing.</t>
  </si>
  <si>
    <t>TC-RID-025</t>
  </si>
  <si>
    <t>Reuse the activation link after activating</t>
  </si>
  <si>
    <t>The rider pedrojose.garcia@example.com is already Active.</t>
  </si>
  <si>
    <t>1. Open the activation link that was already used.</t>
  </si>
  <si>
    <t>Activation link from the email that was used to activate</t>
  </si>
  <si>
    <t>A message says the link is invalid or already used. The password cannot be changed through this link.</t>
  </si>
  <si>
    <t>It does not provide a resend option for a rider activation link.</t>
  </si>
  <si>
    <t>Activation-link resend and old-link cancellation are missing.</t>
  </si>
  <si>
    <t>TC-RID-026</t>
  </si>
  <si>
    <t>Rider logs in before activating</t>
  </si>
  <si>
    <t>The rider pedrojose.garcia@example.com has status Pending Activation.</t>
  </si>
  <si>
    <t>1. Open the login screen.
2. Enter the email and password.
3. Tap Log In.</t>
  </si>
  <si>
    <t>Email: pedrojose.garcia@example.com
Password: Rider@2026</t>
  </si>
  <si>
    <t>Login is denied. The rider is not given access to any screen.</t>
  </si>
  <si>
    <t>I tried to sign in with a rider whose account was still pending. The website returned to Login and did not open the Rider dashboard.</t>
  </si>
  <si>
    <t>Access was denied as expected. The website calls the status pending rather than Pending Activation.</t>
  </si>
  <si>
    <t>TC-RID-027</t>
  </si>
  <si>
    <t>Access Control</t>
  </si>
  <si>
    <t>Rider logs in after activating</t>
  </si>
  <si>
    <t>The rider pedrojose.garcia@example.com is Active.</t>
  </si>
  <si>
    <t>Login succeeds. The rider dashboard opens and shows Pedro Jose Garcia and Bilis Hatid Express Inc.</t>
  </si>
  <si>
    <t>After the temporary rider was approved, I signed in with the same email and password. The Rider dashboard opened successfully.</t>
  </si>
  <si>
    <t>The login result matched the expected behavior. The website calls the usable status approved rather than Active.</t>
  </si>
  <si>
    <t>TC-RID-028</t>
  </si>
  <si>
    <t>Rider is visible only to the company that created it</t>
  </si>
  <si>
    <t>Bilis Hatid Express Inc. created the rider Pedro Jose Garcia. Agila Cargo Movers Corp. is also an Approved logistics account.</t>
  </si>
  <si>
    <t>1. Log in as the first company and open the rider list.
2. Log out.
3. Log in as the second company and open the rider list.</t>
  </si>
  <si>
    <t>First: operations@bilishatid.example.com / Hatid@2026
Second: admin@agilacargo.example.com / Agila#Cargo26</t>
  </si>
  <si>
    <t>Pedro Jose Garcia appears in the rider list of Bilis Hatid Express Inc. and does not appear in the rider list of Agila Cargo Movers Corp.</t>
  </si>
  <si>
    <t>I added a rider under one logistics company and checked the account list from another company. The rider was visible only to the company that owned the account.</t>
  </si>
  <si>
    <t>Company separation worked as expected on the Accounts page.</t>
  </si>
  <si>
    <t>TC-RID-029</t>
  </si>
  <si>
    <t>No public rider registration</t>
  </si>
  <si>
    <t>No user is logged in.</t>
  </si>
  <si>
    <t>1. Open the app's Sign Up screen and check the role choices.
2. While logged out, open the Add Rider deep link on the phone.</t>
  </si>
  <si>
    <t>Add Rider deep link (copy it while logged in as logistics, if the app has one)</t>
  </si>
  <si>
    <t>Rider is not offered as a self-registration role. The Add Rider deep link opens the login screen.</t>
  </si>
  <si>
    <t>A13, M11</t>
  </si>
  <si>
    <t>While signed out, I opened /register/rider and the public Courier Registration page loaded successfully.</t>
  </si>
  <si>
    <t>Riders can self-register, which conflicts with the requirement that only an approved logistics account can create them.</t>
  </si>
  <si>
    <t>TC-RID-030</t>
  </si>
  <si>
    <t>Buyer or seller opens the Add Rider form</t>
  </si>
  <si>
    <t>The buyer account juanmiguel.delacruz@example.com is logged in.</t>
  </si>
  <si>
    <t>1. Check the buyer's tabs and menus for Add Rider.
2. Open the Add Rider deep link on the buyer's phone.
3. With a proxy tool, send the Add Rider request using the buyer's session.
4. Repeat while logged in as the seller mariaclara.santos@example.com.</t>
  </si>
  <si>
    <t>Add Rider deep link and Add Rider API request</t>
  </si>
  <si>
    <t>Add Rider is not shown. The deep link and the request are refused each time (401/403, access-denied screen or redirect). No rider can be created.</t>
  </si>
  <si>
    <t>A16, M11</t>
  </si>
  <si>
    <t>Buyer and seller accounts were redirected away from the logistics account page and could not submit the Add Rider request.</t>
  </si>
  <si>
    <t>Role-based access worked as expected.</t>
  </si>
  <si>
    <t>TC-RID-031</t>
  </si>
  <si>
    <t>Pending logistics account tries to add a rider</t>
  </si>
  <si>
    <t>A logistics account with status Pending Approval is logged in (register admin@agilacargo.example.com and verify it, but do not approve it yet).</t>
  </si>
  <si>
    <t>1. Look for the Add Rider option.
2. Open the Add Rider deep link, or send the Add Rider request with a proxy tool.</t>
  </si>
  <si>
    <t>Add Rider deep link or API request</t>
  </si>
  <si>
    <t>The Add Rider option is not available. The deep link or request is denied or shows the under-review notice. No rider can be created.</t>
  </si>
  <si>
    <t>A12, A13, M11</t>
  </si>
  <si>
    <t>A logistics account that was not approved received an access-denied response and could not add a rider.</t>
  </si>
  <si>
    <t>Approval-based access worked as expected.</t>
  </si>
  <si>
    <t>TC-RID-032</t>
  </si>
  <si>
    <t>Open another role's screens</t>
  </si>
  <si>
    <t>The Active rider account pedrojose.garcia@example.com is logged in.</t>
  </si>
  <si>
    <t>1. Check every tab and menu for logistics, seller or admin functions.
2. Open each deep link in the test data on the rider's phone, one at a time.
3. If a proxy tool is available, replay one logistics request using the rider's session.</t>
  </si>
  <si>
    <t>Logistics dashboard deep link
Seller dashboard deep link
Admin dashboard deep link</t>
  </si>
  <si>
    <t>No other role's menus are shown. Each deep link shows an access-denied message or returns to the rider home screen. The API request is refused (401/403). No data from the other role is shown.</t>
  </si>
  <si>
    <t>An approved rider could open the Rider dashboard but was redirected away from logistics, seller, and administrator pages.</t>
  </si>
  <si>
    <t>It kept the rider within the Rider area.</t>
  </si>
  <si>
    <t>TC-RID-033</t>
  </si>
  <si>
    <t>[Mobile] Each field opens the right keyboard</t>
  </si>
  <si>
    <t>The Approved logistics account operations@bilishatid.example.com is logged in on the test phone and the Add Rider form is open.</t>
  </si>
  <si>
    <t>1. Tap each field in turn, from top to bottom.
2. Note the keyboard that opens and whether word suggestions appear.</t>
  </si>
  <si>
    <t>Email: email keyboard with @
Mobile Number: number pad
Driver's License No., Plate Number: letters and numbers, capitals
First / Last Name: capitalises each word</t>
  </si>
  <si>
    <t>Each field opens the keyboard listed in the test data. Password fields show no autocorrect or word suggestions. No field opens a keyboard that cannot type its valid value.</t>
  </si>
  <si>
    <t>TC-RID-034</t>
  </si>
  <si>
    <t>[Mobile] Keyboard never hides the active field or Save</t>
  </si>
  <si>
    <t>Low</t>
  </si>
  <si>
    <t>1. On the smallest test phone, tap each field from top to bottom.
2. With the keyboard open on the last field, scroll to Save.
3. Tap Done or tap outside the fields.</t>
  </si>
  <si>
    <t>Any valid values</t>
  </si>
  <si>
    <t>The focused field always scrolls into view above the keyboard, with its error message visible. Save can be reached and tapped. The keyboard closes when Done or the background is tapped.</t>
  </si>
  <si>
    <t>M2, M12</t>
  </si>
  <si>
    <t>TC-RID-035</t>
  </si>
  <si>
    <t>[Mobile] App sent to the background while filling the form</t>
  </si>
  <si>
    <t>1. Fill in about half the fields with Account 1 data.
2. Press Home and open another app for 1 minute, then return.
3. Lock the screen for 1 minute (or receive a phone call), then return.</t>
  </si>
  <si>
    <t>Account 1 data (Test Data sheet)</t>
  </si>
  <si>
    <t>Each time, the app returns to the same form with every typed value still there (passwords may be cleared). The app does not restart, crash or jump to the login screen. No rider is created until Save is tapped.</t>
  </si>
  <si>
    <t>TC-RID-036</t>
  </si>
  <si>
    <t>[Mobile] Rotate the phone while the form has data</t>
  </si>
  <si>
    <t>1. Fill in several fields and tap Save with one field blank, so an error message shows.
2. Turn on auto-rotate and rotate the phone to landscape, then back.</t>
  </si>
  <si>
    <t>Account 1 data with Email left blank</t>
  </si>
  <si>
    <t>Either the app stays in portrait, or the layout switches to landscape and back keeping every value and the error message. Nothing is cleared and the app does not crash.</t>
  </si>
  <si>
    <t>TC-RID-037</t>
  </si>
  <si>
    <t>[Mobile] Save with no internet connection</t>
  </si>
  <si>
    <t>The Approved logistics account operations@bilishatid.example.com is logged in on the test phone and the Add Rider form is open. The values in the test data are not yet registered.</t>
  </si>
  <si>
    <t>1. Fill in every field with the test data.
2. Turn on Airplane mode (Wi-Fi and mobile data off).
3. Tap Save.
4. Turn Airplane mode off and tap Save again.</t>
  </si>
  <si>
    <t>Email: rider.test03@example.com
Mobile Number: 09170000014
Driver's License No.: M26-00-000001
Plate Number: MOB100
Other fields: Account 1 values</t>
  </si>
  <si>
    <t>Step 3: a clear no-internet message is shown, the typed data stays on the form, the app does not crash, and no rider is created. Step 4: the rider is saved once: exactly one rider and one activation email.</t>
  </si>
  <si>
    <t>M5, A13</t>
  </si>
  <si>
    <t>TC-RID-038</t>
  </si>
  <si>
    <t>[Mobile] Connection drops right after tapping Save</t>
  </si>
  <si>
    <t>1. Fill in every field with the test data.
2. Tap Save, then turn on Airplane mode within a second.
3. Turn Airplane mode off. If the form is still shown, tap Save again.
4. Check the mail catcher and the rider list.</t>
  </si>
  <si>
    <t>Email: rider.test04@example.com
Mobile Number: 09170000015
Driver's License No.: M26-00-000002
Plate Number: MOB200
Other fields: Account 1 values</t>
  </si>
  <si>
    <t>The app shows a connection error or a waiting state, never a frozen screen. In the end exactly one rider exists with this email. If the first attempt was saved, the app continues normally (or says the rider already exists and lets the user continue); the rider is never left in a state the user cannot reach.</t>
  </si>
  <si>
    <t>TC-RID-039</t>
  </si>
  <si>
    <t>[Mobile] System Back on the Add Rider form</t>
  </si>
  <si>
    <t>1. Fill in a few fields, then press Android Back (or swipe back on iPhone).
2. Tap Cancel in the prompt, then press Back again and confirm leaving.
3. Open the rider list.</t>
  </si>
  <si>
    <t>Leaving the form with typed data asks first, and Cancel keeps every value. After confirming, no rider is created and the rider list is unchanged.</t>
  </si>
  <si>
    <t>TC-RID-040</t>
  </si>
  <si>
    <t>[Mobile] Upload with the camera, the Files app and the gallery</t>
  </si>
  <si>
    <t>1. For Driver's License, choose Take Photo and photograph a printed sample of the document.
2. For Vehicle OR/CR, choose Files (Browse) and pick or_cr.pdf copied to the phone.
3. Fill in the other fields and tap Save.</t>
  </si>
  <si>
    <t>Email: rider.test07@example.com
Mobile Number: 09170000017
Driver's License No.: M26-00-000005
Plate Number: MOB500
Other fields: Account 1 values
Vehicle OR/CR: or_cr.pdf</t>
  </si>
  <si>
    <t>Each source (camera, Files, gallery) is offered and works. The camera photo shows a preview and is accepted (compressed to 5 MB or less if needed). The PDF and the gallery image show their names or previews. Save continues normally.</t>
  </si>
  <si>
    <t>A10, M6, M7</t>
  </si>
  <si>
    <t>TC-RID-041</t>
  </si>
  <si>
    <t>[Mobile] Camera or photo access denied</t>
  </si>
  <si>
    <t>1. Tap the Driver's License upload, choose Take Photo, and tap Don't Allow when asked for camera access.
2. Choose Gallery and deny photo access too.
3. Choose Files and pick drivers_license.jpg.
4. Choose Take Photo again.</t>
  </si>
  <si>
    <t>drivers_license.jpg copied to the phone</t>
  </si>
  <si>
    <t>No crash. A message explains why the permission is needed and offers a link to the phone's Settings. Files still works and the file is accepted. Asking again shows the system prompt again or the Settings message.</t>
  </si>
  <si>
    <t>TC-RID-042</t>
  </si>
  <si>
    <t>[Mobile] Full-resolution camera photo bigger than 5 MB</t>
  </si>
  <si>
    <t>1. Set the camera to its highest resolution and take the Driver's License photo inside the app, or pick size_5.1MB.jpg from Photos.
2. Fill in the other fields and tap Save.</t>
  </si>
  <si>
    <t>Camera photo over 5 MB, or size_5.1MB.jpg in Photos</t>
  </si>
  <si>
    <t>The app either compresses the photo to 5 MB or less and accepts it (the saved image is still readable), or rejects it with the maximum-size message. It never uploads a file over 5 MB and never fails without a message. Write your rule in Assumption M7, column D.</t>
  </si>
  <si>
    <t>A10, M7</t>
  </si>
  <si>
    <t>I selected an image measuring 5,347,738 bytes. The Rider page compressed it to 8,388 bytes, kept it as the selected license image, and showed no size error.</t>
  </si>
  <si>
    <t>TC-RID-043</t>
  </si>
  <si>
    <t>[Mobile] Large system font on a small screen</t>
  </si>
  <si>
    <t>1. Set the phone's font size and display size to the largest setting.
2. Open the Add Rider form and tap Save with every field empty.</t>
  </si>
  <si>
    <t>All labels, placeholders, error messages and buttons can be read in full; none are cut off or overlapping. The screen scrolls to every field and Save can be tapped.</t>
  </si>
  <si>
    <t>Loaded, but this session could not change a phones system font and display size to the largest setting.</t>
  </si>
  <si>
    <t>TC-RID-044</t>
  </si>
  <si>
    <t>[Mobile] Activation link opened on the rider's phone with the app installed</t>
  </si>
  <si>
    <t>The rider markanthony.bautista@example.com (created with the Account 2 data) is Pending Activation. The app is installed on the rider's phone and the activation email is open there.</t>
  </si>
  <si>
    <t>1. On the rider's phone, tap the activation link.
2. Enter the password in both fields and tap Activate.
3. Log in to the app.</t>
  </si>
  <si>
    <t>Password: Hatid#Mark26
Confirm Password: Hatid#Mark26</t>
  </si>
  <si>
    <t>The link opens the app's Set Password screen (or a mobile web page that leads back to the app). Activation succeeds, the status becomes Active, and the rider logs in to the rider home screen showing Mark Anthony Bautista.</t>
  </si>
  <si>
    <t>No activation email or Rider Set Password link was produced. The website requires the logistics administrator to set the riders password during creation.</t>
  </si>
  <si>
    <t>TC-RID-045</t>
  </si>
  <si>
    <t>[Mobile] Activation link opened on a phone without the app</t>
  </si>
  <si>
    <t>A rider created with spare values is Pending Activation. The phone used does not have the app installed.</t>
  </si>
  <si>
    <t>1. Open the activation link on that phone.</t>
  </si>
  <si>
    <t>Activation link from the mail catcher</t>
  </si>
  <si>
    <t>The link opens a mobile web page to set the password, or the app's store page with clear instructions. No blank or error page.</t>
  </si>
  <si>
    <t>No activation link was available to open on a phone without the app.</t>
  </si>
  <si>
    <t>TC-RID-046</t>
  </si>
  <si>
    <t>[Mobile] Stay logged in after closing the app or restarting the phone</t>
  </si>
  <si>
    <t>The rider pedrojose.garcia@example.com is Active and logged in to the app on the rider's test phone.</t>
  </si>
  <si>
    <t>1. Swipe the app away from recent apps (force close) and reopen it.
2. Restart the phone and reopen the app.</t>
  </si>
  <si>
    <t>Each time the app opens on the rider home screen still logged in, showing Pedro Jose Garcia. It does not ask to log in again and shows no other user's data.</t>
  </si>
  <si>
    <t>I signed in as a temporary approved rider and reopened the Rider dashboard; the session stayed signed in. I could not verify force-closing an installed Rider app or restarting a phone.</t>
  </si>
  <si>
    <t>TC-RID-047</t>
  </si>
  <si>
    <t>[Mobile] Back after logging out</t>
  </si>
  <si>
    <t>1. Tap Log Out.
2. Press Android Back (or swipe back) several times.
3. Reopen the app from recent apps.</t>
  </si>
  <si>
    <t>The login screen stays. No screen with account data appears again, and the app does not log back in by itself.</t>
  </si>
  <si>
    <t>M8, M9</t>
  </si>
  <si>
    <t>I signed in as a temporary approved rider, selected Sign out, and then tried to open the Rider dashboard again. It returned to Login and did not show rider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</si>
</sst>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0%"/>
  </numFmts>
  <fonts count="28">
    <font>
      <sz val="11"/>
      <color theme="1"/>
      <name val="Calibri"/>
      <charset val="1"/>
    </font>
    <font>
      <b/>
      <sz val="10"/>
      <color rgb="FFFFFFFF"/>
      <name val="Arial"/>
      <charset val="1"/>
    </font>
    <font>
      <b/>
      <sz val="10"/>
      <name val="Arial"/>
      <charset val="1"/>
    </font>
    <font>
      <sz val="10"/>
      <name val="Arial"/>
      <charset val="1"/>
    </font>
    <font>
      <b/>
      <sz val="14"/>
      <color rgb="FF1F3864"/>
      <name val="Arial"/>
      <charset val="1"/>
    </font>
    <font>
      <b/>
      <sz val="11"/>
      <color rgb="FF1F3864"/>
      <name val="Arial"/>
      <charset val="1"/>
    </font>
    <font>
      <i/>
      <sz val="10"/>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F2F2F2"/>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Border="0" applyAlignment="0" applyProtection="0"/>
    <xf numFmtId="44" fontId="7" fillId="0" borderId="0" applyBorder="0" applyAlignment="0" applyProtection="0"/>
    <xf numFmtId="9" fontId="7" fillId="0" borderId="0" applyBorder="0" applyAlignment="0" applyProtection="0"/>
    <xf numFmtId="41" fontId="7" fillId="0" borderId="0" applyBorder="0" applyAlignment="0" applyProtection="0"/>
    <xf numFmtId="42" fontId="7" fillId="0" borderId="0" applyBorder="0" applyAlignment="0" applyProtection="0"/>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5"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6" borderId="6" applyNumberFormat="0" applyAlignment="0" applyProtection="0">
      <alignment vertical="center"/>
    </xf>
    <xf numFmtId="0" fontId="18" fillId="7" borderId="7" applyNumberFormat="0" applyAlignment="0" applyProtection="0">
      <alignment vertical="center"/>
    </xf>
    <xf numFmtId="0" fontId="19" fillId="7" borderId="6" applyNumberFormat="0" applyAlignment="0" applyProtection="0">
      <alignment vertical="center"/>
    </xf>
    <xf numFmtId="0" fontId="20" fillId="8"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25">
    <xf numFmtId="0" fontId="0" fillId="0" borderId="0" xfId="0"/>
    <xf numFmtId="0" fontId="0" fillId="0" borderId="0" xfId="0" applyAlignment="1"/>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3" borderId="1" xfId="0" applyFont="1" applyFill="1" applyBorder="1" applyAlignment="1">
      <alignment vertical="top" wrapText="1"/>
    </xf>
    <xf numFmtId="0" fontId="3" fillId="3" borderId="1" xfId="0" applyFont="1" applyFill="1" applyBorder="1" applyAlignment="1">
      <alignment horizontal="center" vertical="top" wrapText="1"/>
    </xf>
    <xf numFmtId="0" fontId="4" fillId="0" borderId="0" xfId="0" applyFont="1" applyAlignment="1"/>
    <xf numFmtId="0" fontId="3" fillId="0" borderId="0" xfId="0" applyFont="1" applyBorder="1" applyAlignment="1">
      <alignment vertical="top" wrapText="1"/>
    </xf>
    <xf numFmtId="0" fontId="2" fillId="0" borderId="1" xfId="0" applyFont="1" applyBorder="1" applyAlignment="1">
      <alignment vertical="top" wrapText="1"/>
    </xf>
    <xf numFmtId="0" fontId="5" fillId="0" borderId="0" xfId="0" applyFont="1" applyAlignment="1"/>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0" fillId="0" borderId="2" xfId="0" applyFont="1" applyBorder="1"/>
    <xf numFmtId="0" fontId="3" fillId="0" borderId="0" xfId="0" applyFont="1" applyAlignment="1"/>
    <xf numFmtId="0" fontId="3" fillId="3" borderId="1" xfId="0" applyFont="1" applyFill="1" applyBorder="1" applyAlignment="1"/>
    <xf numFmtId="0" fontId="2" fillId="0" borderId="1" xfId="0" applyFont="1" applyBorder="1" applyAlignment="1">
      <alignment horizontal="left" vertical="top"/>
    </xf>
    <xf numFmtId="0" fontId="3" fillId="0" borderId="1" xfId="0" applyFont="1" applyBorder="1" applyAlignment="1">
      <alignment horizontal="center" vertical="top"/>
    </xf>
    <xf numFmtId="176" fontId="3" fillId="0" borderId="1" xfId="0" applyNumberFormat="1" applyFont="1" applyBorder="1" applyAlignment="1">
      <alignment horizontal="center" vertical="top"/>
    </xf>
    <xf numFmtId="0" fontId="2" fillId="4" borderId="1" xfId="0" applyFont="1" applyFill="1" applyBorder="1" applyAlignment="1">
      <alignment horizontal="left" vertical="top"/>
    </xf>
    <xf numFmtId="0" fontId="2" fillId="4" borderId="1" xfId="0" applyFont="1" applyFill="1" applyBorder="1" applyAlignment="1">
      <alignment horizontal="center" vertical="top"/>
    </xf>
    <xf numFmtId="176" fontId="2" fillId="4" borderId="1" xfId="0" applyNumberFormat="1" applyFont="1" applyFill="1" applyBorder="1" applyAlignment="1">
      <alignment horizontal="center" vertical="top"/>
    </xf>
    <xf numFmtId="0" fontId="6" fillId="0" borderId="1" xfId="0" applyFont="1" applyBorder="1" applyAlignment="1">
      <alignment vertical="top" wrapText="1"/>
    </xf>
    <xf numFmtId="0" fontId="6" fillId="3" borderId="1"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0">
    <dxf>
      <font>
        <name val="Arial"/>
        <scheme val="none"/>
        <charset val="1"/>
        <family val="0"/>
        <b val="1"/>
        <sz val="10"/>
        <color rgb="FF8A4B00"/>
      </font>
      <fill>
        <patternFill patternType="solid">
          <bgColor rgb="FFFFE0B2"/>
        </patternFill>
      </fill>
    </dxf>
    <dxf>
      <font>
        <name val="Arial"/>
        <scheme val="none"/>
        <charset val="1"/>
        <family val="0"/>
        <b val="1"/>
        <sz val="10"/>
        <color rgb="FF9C0006"/>
      </font>
      <fill>
        <patternFill patternType="solid">
          <bgColor rgb="FFFFC7CE"/>
        </patternFill>
      </fill>
    </dxf>
    <dxf>
      <font>
        <name val="Arial"/>
        <scheme val="none"/>
        <charset val="1"/>
        <family val="0"/>
        <b val="1"/>
        <sz val="10"/>
        <color rgb="FF006100"/>
      </font>
      <fill>
        <patternFill patternType="solid">
          <bgColor rgb="FFC6EF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indexedColors>
      <rgbColor rgb="00000000"/>
      <rgbColor rgb="00FFFFFF"/>
      <rgbColor rgb="00FF0000"/>
      <rgbColor rgb="0000FF00"/>
      <rgbColor rgb="000000FF"/>
      <rgbColor rgb="00FFFF00"/>
      <rgbColor rgb="00FF00FF"/>
      <rgbColor rgb="0000FFFF"/>
      <rgbColor rgb="009C0006"/>
      <rgbColor rgb="00006100"/>
      <rgbColor rgb="00000080"/>
      <rgbColor rgb="00808000"/>
      <rgbColor rgb="00800080"/>
      <rgbColor rgb="00008080"/>
      <rgbColor rgb="00BFBFBF"/>
      <rgbColor rgb="00808080"/>
      <rgbColor rgb="009999FF"/>
      <rgbColor rgb="00993366"/>
      <rgbColor rgb="00FFF2CC"/>
      <rgbColor rgb="00F2F2F2"/>
      <rgbColor rgb="00660066"/>
      <rgbColor rgb="00FF8080"/>
      <rgbColor rgb="000066CC"/>
      <rgbColor rgb="00FFC7CE"/>
      <rgbColor rgb="00000080"/>
      <rgbColor rgb="00FF00FF"/>
      <rgbColor rgb="00FFFF00"/>
      <rgbColor rgb="0000FFFF"/>
      <rgbColor rgb="00800080"/>
      <rgbColor rgb="00800000"/>
      <rgbColor rgb="00008080"/>
      <rgbColor rgb="000000FF"/>
      <rgbColor rgb="0000CCFF"/>
      <rgbColor rgb="00CCFFFF"/>
      <rgbColor rgb="00C6EFCE"/>
      <rgbColor rgb="00FFFF99"/>
      <rgbColor rgb="0099CCFF"/>
      <rgbColor rgb="00FF99CC"/>
      <rgbColor rgb="00CC99FF"/>
      <rgbColor rgb="00FFE0B2"/>
      <rgbColor rgb="003366FF"/>
      <rgbColor rgb="0033CCCC"/>
      <rgbColor rgb="0099CC00"/>
      <rgbColor rgb="00FFCC00"/>
      <rgbColor rgb="00FF9900"/>
      <rgbColor rgb="00FF6600"/>
      <rgbColor rgb="00666699"/>
      <rgbColor rgb="00969696"/>
      <rgbColor rgb="001F3864"/>
      <rgbColor rgb="00339966"/>
      <rgbColor rgb="00003300"/>
      <rgbColor rgb="00333300"/>
      <rgbColor rgb="008A4B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48"/>
  <sheetViews>
    <sheetView showGridLines="0" workbookViewId="0">
      <selection activeCell="A1" sqref="A1"/>
    </sheetView>
  </sheetViews>
  <sheetFormatPr defaultColWidth="8.69090909090909" defaultRowHeight="14.5" outlineLevelCol="6"/>
  <cols>
    <col min="1" max="1" width="26" style="1" customWidth="1"/>
    <col min="2" max="4" width="34" style="1" customWidth="1"/>
    <col min="5" max="6" width="14" style="1" customWidth="1"/>
    <col min="7" max="7" width="30" style="1" customWidth="1"/>
  </cols>
  <sheetData>
    <row r="1" ht="17.25" customHeight="1" spans="1:7">
      <c r="A1" s="8" t="s">
        <v>0</v>
      </c>
    </row>
    <row r="2" ht="15" customHeight="1" spans="1:7">
      <c r="A2" s="15" t="s">
        <v>1</v>
      </c>
    </row>
    <row r="4" ht="15" customHeight="1" spans="1:7">
      <c r="A4" s="11" t="s">
        <v>2</v>
      </c>
    </row>
    <row r="5" ht="15" customHeight="1" spans="1:7">
      <c r="A5" s="13" t="s">
        <v>3</v>
      </c>
      <c r="B5" s="16" t="s">
        <v>4</v>
      </c>
    </row>
    <row r="6" ht="15" customHeight="1" spans="1:7">
      <c r="A6" s="13" t="s">
        <v>5</v>
      </c>
      <c r="B6" s="16" t="s">
        <v>6</v>
      </c>
    </row>
    <row r="7" ht="23.25" customHeight="1" spans="1:7">
      <c r="A7" s="13" t="s">
        <v>7</v>
      </c>
      <c r="B7" s="16" t="s">
        <v>8</v>
      </c>
    </row>
    <row r="8" ht="15" customHeight="1" spans="1:7">
      <c r="A8" s="13" t="s">
        <v>9</v>
      </c>
      <c r="B8" s="16" t="s">
        <v>10</v>
      </c>
    </row>
    <row r="9" ht="15" customHeight="1" spans="1:7">
      <c r="A9" s="13" t="s">
        <v>11</v>
      </c>
      <c r="B9" s="16" t="s">
        <v>12</v>
      </c>
    </row>
    <row r="11" ht="15" customHeight="1" spans="1:7">
      <c r="A11" s="11" t="s">
        <v>13</v>
      </c>
    </row>
    <row r="12" ht="15" customHeight="1" spans="1:7">
      <c r="A12" s="2" t="s">
        <v>14</v>
      </c>
      <c r="B12" s="2" t="s">
        <v>15</v>
      </c>
      <c r="C12" s="2" t="s">
        <v>16</v>
      </c>
      <c r="D12" s="2" t="s">
        <v>17</v>
      </c>
      <c r="E12" s="2" t="s">
        <v>18</v>
      </c>
      <c r="F12" s="2" t="s">
        <v>19</v>
      </c>
      <c r="G12" s="2" t="s">
        <v>20</v>
      </c>
    </row>
    <row r="13" ht="15" customHeight="1" spans="1:7">
      <c r="A13" s="17" t="s">
        <v>21</v>
      </c>
      <c r="B13" s="18">
        <v>0</v>
      </c>
      <c r="C13" s="18">
        <v>0</v>
      </c>
      <c r="D13" s="18">
        <v>0</v>
      </c>
      <c r="E13" s="18">
        <v>0</v>
      </c>
      <c r="F13" s="18">
        <v>0</v>
      </c>
      <c r="G13" s="19">
        <f>IF(B13=0,0,C13/B13)</f>
        <v>0</v>
      </c>
    </row>
    <row r="14" ht="15" customHeight="1" spans="1:7">
      <c r="A14" s="17" t="s">
        <v>22</v>
      </c>
      <c r="B14" s="18">
        <v>0</v>
      </c>
      <c r="C14" s="18">
        <v>0</v>
      </c>
      <c r="D14" s="18">
        <v>0</v>
      </c>
      <c r="E14" s="18">
        <v>0</v>
      </c>
      <c r="F14" s="18">
        <v>0</v>
      </c>
      <c r="G14" s="19">
        <f>IF(B14=0,0,C14/B14)</f>
        <v>0</v>
      </c>
    </row>
    <row r="15" ht="15" customHeight="1" spans="1:7">
      <c r="A15" s="17" t="s">
        <v>23</v>
      </c>
      <c r="B15" s="18">
        <v>0</v>
      </c>
      <c r="C15" s="18">
        <v>0</v>
      </c>
      <c r="D15" s="18">
        <v>0</v>
      </c>
      <c r="E15" s="18">
        <v>0</v>
      </c>
      <c r="F15" s="18">
        <v>0</v>
      </c>
      <c r="G15" s="19">
        <f>IF(B15=0,0,C15/B15)</f>
        <v>0</v>
      </c>
    </row>
    <row r="16" ht="15" customHeight="1" spans="1:7">
      <c r="A16" s="17" t="s">
        <v>24</v>
      </c>
      <c r="B16" s="18">
        <f>COUNTA(Rider!$A$2:$A$200)</f>
        <v>47</v>
      </c>
      <c r="C16" s="18">
        <f>COUNTIF(Rider!$L$2:$L$200,"Pass")</f>
        <v>28</v>
      </c>
      <c r="D16" s="18">
        <f>COUNTIF(Rider!$L$2:$L$200,"Fail")</f>
        <v>18</v>
      </c>
      <c r="E16" s="18">
        <f>COUNTIF(Rider!$L$2:$L$200,"Blocked")</f>
        <v>1</v>
      </c>
      <c r="F16" s="18">
        <f>COUNTIF(Rider!$L$2:$L$200,"Not Run")</f>
        <v>0</v>
      </c>
      <c r="G16" s="19">
        <f>IF(B16=0,0,C16/B16)</f>
        <v>0.595744680851064</v>
      </c>
    </row>
    <row r="17" ht="15" customHeight="1" spans="1:7">
      <c r="A17" s="20" t="s">
        <v>25</v>
      </c>
      <c r="B17" s="21">
        <f>SUM(B13:B16)</f>
        <v>47</v>
      </c>
      <c r="C17" s="21">
        <f>SUM(C13:C16)</f>
        <v>28</v>
      </c>
      <c r="D17" s="21">
        <f>SUM(D13:D16)</f>
        <v>18</v>
      </c>
      <c r="E17" s="21">
        <f>SUM(E13:E16)</f>
        <v>1</v>
      </c>
      <c r="F17" s="21">
        <f>SUM(F13:F16)</f>
        <v>0</v>
      </c>
      <c r="G17" s="22">
        <f>IF(B17=0,0,C17/B17)</f>
        <v>0.595744680851064</v>
      </c>
    </row>
    <row r="19" ht="15" customHeight="1" spans="1:7">
      <c r="A19" s="11" t="s">
        <v>26</v>
      </c>
    </row>
    <row r="20" ht="15.75" customHeight="1" spans="1:7">
      <c r="A20" s="9" t="s">
        <v>27</v>
      </c>
      <c r="B20" s="9"/>
      <c r="C20" s="9"/>
      <c r="D20" s="9"/>
      <c r="E20" s="9"/>
      <c r="F20" s="9"/>
      <c r="G20" s="9"/>
    </row>
    <row r="21" ht="30" customHeight="1" spans="1:7">
      <c r="A21" s="9" t="s">
        <v>28</v>
      </c>
      <c r="B21" s="9"/>
      <c r="C21" s="9"/>
      <c r="D21" s="9"/>
      <c r="E21" s="9"/>
      <c r="F21" s="9"/>
      <c r="G21" s="9"/>
    </row>
    <row r="22" ht="30" customHeight="1" spans="1:7">
      <c r="A22" s="9" t="s">
        <v>29</v>
      </c>
      <c r="B22" s="9"/>
      <c r="C22" s="9"/>
      <c r="D22" s="9"/>
      <c r="E22" s="9"/>
      <c r="F22" s="9"/>
      <c r="G22" s="9"/>
    </row>
    <row r="23" ht="30" customHeight="1" spans="1:7">
      <c r="A23" s="9" t="s">
        <v>30</v>
      </c>
      <c r="B23" s="9"/>
      <c r="C23" s="9"/>
      <c r="D23" s="9"/>
      <c r="E23" s="9"/>
      <c r="F23" s="9"/>
      <c r="G23" s="9"/>
    </row>
    <row r="24" ht="15.75" customHeight="1" spans="1:7">
      <c r="A24" s="9" t="s">
        <v>31</v>
      </c>
      <c r="B24" s="9"/>
      <c r="C24" s="9"/>
      <c r="D24" s="9"/>
      <c r="E24" s="9"/>
      <c r="F24" s="9"/>
      <c r="G24" s="9"/>
    </row>
    <row r="25" ht="15.75" customHeight="1" spans="1:7">
      <c r="A25" s="9" t="s">
        <v>32</v>
      </c>
      <c r="B25" s="9"/>
      <c r="C25" s="9"/>
      <c r="D25" s="9"/>
      <c r="E25" s="9"/>
      <c r="F25" s="9"/>
      <c r="G25" s="9"/>
    </row>
    <row r="26" ht="30" customHeight="1" spans="1:7">
      <c r="A26" s="9" t="s">
        <v>33</v>
      </c>
      <c r="B26" s="9"/>
      <c r="C26" s="9"/>
      <c r="D26" s="9"/>
      <c r="E26" s="9"/>
      <c r="F26" s="9"/>
      <c r="G26" s="9"/>
    </row>
    <row r="27" ht="15.75" customHeight="1" spans="1:7">
      <c r="A27" s="9" t="s">
        <v>34</v>
      </c>
      <c r="B27" s="9"/>
      <c r="C27" s="9"/>
      <c r="D27" s="9"/>
      <c r="E27" s="9"/>
      <c r="F27" s="9"/>
      <c r="G27" s="9"/>
    </row>
    <row r="29" ht="15" customHeight="1" spans="1:7">
      <c r="A29" s="11" t="s">
        <v>35</v>
      </c>
    </row>
    <row r="30" ht="15" customHeight="1" spans="1:7">
      <c r="A30" s="2" t="s">
        <v>36</v>
      </c>
      <c r="B30" s="2" t="s">
        <v>37</v>
      </c>
      <c r="C30" s="2" t="s">
        <v>38</v>
      </c>
      <c r="D30" s="2" t="s">
        <v>39</v>
      </c>
      <c r="E30" s="2" t="s">
        <v>40</v>
      </c>
      <c r="F30" s="2" t="s">
        <v>41</v>
      </c>
    </row>
    <row r="31" ht="54" customHeight="1" spans="1:7">
      <c r="A31" s="23" t="s">
        <v>42</v>
      </c>
      <c r="B31" s="23" t="s">
        <v>43</v>
      </c>
      <c r="C31" s="23" t="s">
        <v>44</v>
      </c>
      <c r="D31" s="24" t="s">
        <v>45</v>
      </c>
      <c r="E31" s="24" t="s">
        <v>17</v>
      </c>
      <c r="F31" s="24" t="s">
        <v>46</v>
      </c>
    </row>
    <row r="34" ht="15" customHeight="1" spans="1:7">
      <c r="A34" s="11" t="s">
        <v>47</v>
      </c>
    </row>
    <row r="35" ht="15" customHeight="1" spans="1:7">
      <c r="A35" s="13" t="s">
        <v>48</v>
      </c>
      <c r="B35" s="4" t="s">
        <v>49</v>
      </c>
      <c r="C35" s="4"/>
      <c r="D35" s="4"/>
      <c r="E35" s="4"/>
      <c r="F35" s="4"/>
      <c r="G35" s="4"/>
    </row>
    <row r="36" ht="15" customHeight="1" spans="1:7">
      <c r="A36" s="13" t="s">
        <v>50</v>
      </c>
      <c r="B36" s="4" t="s">
        <v>51</v>
      </c>
      <c r="C36" s="4"/>
      <c r="D36" s="4"/>
      <c r="E36" s="4"/>
      <c r="F36" s="4"/>
      <c r="G36" s="4"/>
    </row>
    <row r="37" ht="15" customHeight="1" spans="1:7">
      <c r="A37" s="13" t="s">
        <v>52</v>
      </c>
      <c r="B37" s="4" t="s">
        <v>53</v>
      </c>
      <c r="C37" s="4"/>
      <c r="D37" s="4"/>
      <c r="E37" s="4"/>
      <c r="F37" s="4"/>
      <c r="G37" s="4"/>
    </row>
    <row r="38" ht="15" customHeight="1" spans="1:7">
      <c r="A38" s="13" t="s">
        <v>54</v>
      </c>
      <c r="B38" s="4" t="s">
        <v>55</v>
      </c>
      <c r="C38" s="4"/>
      <c r="D38" s="4"/>
      <c r="E38" s="4"/>
      <c r="F38" s="4"/>
      <c r="G38" s="4"/>
    </row>
    <row r="39" ht="15" customHeight="1" spans="1:7">
      <c r="A39" s="13" t="s">
        <v>56</v>
      </c>
      <c r="B39" s="4" t="s">
        <v>57</v>
      </c>
      <c r="C39" s="4"/>
      <c r="D39" s="4"/>
      <c r="E39" s="4"/>
      <c r="F39" s="4"/>
      <c r="G39" s="4"/>
    </row>
    <row r="40" ht="15" customHeight="1" spans="1:7">
      <c r="A40" s="13" t="s">
        <v>58</v>
      </c>
      <c r="B40" s="4" t="s">
        <v>59</v>
      </c>
      <c r="C40" s="4"/>
      <c r="D40" s="4"/>
      <c r="E40" s="4"/>
      <c r="F40" s="4"/>
      <c r="G40" s="4"/>
    </row>
    <row r="42" spans="1:7">
      <c r="A42" s="11" t="s">
        <v>60</v>
      </c>
    </row>
    <row r="43" ht="30" customHeight="1" spans="1:7">
      <c r="A43" s="9" t="s">
        <v>61</v>
      </c>
      <c r="B43" s="9"/>
      <c r="C43" s="9"/>
      <c r="D43" s="9"/>
      <c r="E43" s="9"/>
      <c r="F43" s="9"/>
      <c r="G43" s="9"/>
    </row>
    <row r="44" ht="30" customHeight="1" spans="1:7">
      <c r="A44" s="9" t="s">
        <v>62</v>
      </c>
      <c r="B44" s="9"/>
      <c r="C44" s="9"/>
      <c r="D44" s="9"/>
      <c r="E44" s="9"/>
      <c r="F44" s="9"/>
      <c r="G44" s="9"/>
    </row>
    <row r="45" ht="42.75" customHeight="1" spans="1:7">
      <c r="A45" s="9" t="s">
        <v>63</v>
      </c>
      <c r="B45" s="9"/>
      <c r="C45" s="9"/>
      <c r="D45" s="9"/>
      <c r="E45" s="9"/>
      <c r="F45" s="9"/>
      <c r="G45" s="9"/>
    </row>
    <row r="46" ht="42.75" customHeight="1" spans="1:7">
      <c r="A46" s="9" t="s">
        <v>64</v>
      </c>
      <c r="B46" s="9"/>
      <c r="C46" s="9"/>
      <c r="D46" s="9"/>
      <c r="E46" s="9"/>
      <c r="F46" s="9"/>
      <c r="G46" s="9"/>
    </row>
    <row r="47" ht="30" customHeight="1" spans="1:7">
      <c r="A47" s="9" t="s">
        <v>65</v>
      </c>
      <c r="B47" s="9"/>
      <c r="C47" s="9"/>
      <c r="D47" s="9"/>
      <c r="E47" s="9"/>
      <c r="F47" s="9"/>
      <c r="G47" s="9"/>
    </row>
    <row r="48" ht="30" customHeight="1" spans="1:7">
      <c r="A48" s="9" t="s">
        <v>66</v>
      </c>
      <c r="B48" s="9"/>
      <c r="C48" s="9"/>
      <c r="D48" s="9"/>
      <c r="E48" s="9"/>
      <c r="F48" s="9"/>
      <c r="G48" s="9"/>
    </row>
  </sheetData>
  <mergeCells count="20">
    <mergeCell ref="A20:G20"/>
    <mergeCell ref="A21:G21"/>
    <mergeCell ref="A22:G22"/>
    <mergeCell ref="A23:G23"/>
    <mergeCell ref="A24:G24"/>
    <mergeCell ref="A25:G25"/>
    <mergeCell ref="A26:G26"/>
    <mergeCell ref="A27:G27"/>
    <mergeCell ref="B35:G35"/>
    <mergeCell ref="B36:G36"/>
    <mergeCell ref="B37:G37"/>
    <mergeCell ref="B38:G38"/>
    <mergeCell ref="B39:G39"/>
    <mergeCell ref="B40:G40"/>
    <mergeCell ref="A43:G43"/>
    <mergeCell ref="A44:G44"/>
    <mergeCell ref="A45:G45"/>
    <mergeCell ref="A46:G46"/>
    <mergeCell ref="A47:G47"/>
    <mergeCell ref="A48:G48"/>
  </mergeCells>
  <pageMargins left="0.75" right="0.75" top="1" bottom="1" header="0.511811023622047" footer="0.511811023622047"/>
  <pageSetup paperSize="9" fitToHeight="0" orientation="landscape" horizontalDpi="300" verticalDpi="300"/>
  <headerFooter>
    <oddHeader>&amp;C
    </oddHeader>
    <oddFooter>&amp;C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06"/>
  <sheetViews>
    <sheetView showGridLines="0" workbookViewId="0">
      <selection activeCell="A1" sqref="A1"/>
    </sheetView>
  </sheetViews>
  <sheetFormatPr defaultColWidth="8.69090909090909" defaultRowHeight="14.5" outlineLevelCol="6"/>
  <cols>
    <col min="1" max="1" width="11" style="1" customWidth="1"/>
    <col min="2" max="2" width="36" style="1" customWidth="1"/>
    <col min="3" max="3" width="22" style="1" customWidth="1"/>
    <col min="4" max="4" width="14" style="1" customWidth="1"/>
    <col min="5" max="5" width="42" style="1" customWidth="1"/>
    <col min="6" max="7" width="38" style="1" customWidth="1"/>
  </cols>
  <sheetData>
    <row r="1" ht="17.25" customHeight="1" spans="1:7">
      <c r="A1" s="8" t="s">
        <v>67</v>
      </c>
    </row>
    <row r="2" ht="30" customHeight="1" spans="1:7">
      <c r="A2" s="9" t="s">
        <v>68</v>
      </c>
      <c r="B2" s="9"/>
      <c r="C2" s="9"/>
      <c r="D2" s="9"/>
      <c r="E2" s="9"/>
      <c r="F2" s="9"/>
      <c r="G2" s="9"/>
    </row>
    <row r="4" ht="15" customHeight="1" spans="1:7">
      <c r="A4" s="11" t="s">
        <v>69</v>
      </c>
    </row>
    <row r="5" ht="15" customHeight="1" spans="1:7">
      <c r="A5" s="2" t="s">
        <v>70</v>
      </c>
      <c r="B5" s="2" t="s">
        <v>71</v>
      </c>
      <c r="C5" s="2" t="s">
        <v>72</v>
      </c>
      <c r="D5" s="2" t="s">
        <v>73</v>
      </c>
      <c r="E5" s="2" t="s">
        <v>74</v>
      </c>
      <c r="F5" s="2" t="s">
        <v>75</v>
      </c>
      <c r="G5" s="2" t="s">
        <v>76</v>
      </c>
    </row>
    <row r="6" ht="23.25" customHeight="1" spans="1:7">
      <c r="A6" s="12" t="s">
        <v>77</v>
      </c>
      <c r="B6" s="13" t="s">
        <v>78</v>
      </c>
      <c r="C6" s="4" t="s">
        <v>79</v>
      </c>
      <c r="D6" s="4" t="s">
        <v>80</v>
      </c>
      <c r="E6" s="4" t="s">
        <v>81</v>
      </c>
      <c r="F6" s="4" t="s">
        <v>82</v>
      </c>
      <c r="G6" s="4" t="s">
        <v>83</v>
      </c>
    </row>
    <row r="7" ht="23.25" customHeight="1" spans="1:7">
      <c r="A7" s="12" t="s">
        <v>77</v>
      </c>
      <c r="B7" s="13" t="s">
        <v>84</v>
      </c>
      <c r="C7" s="4" t="s">
        <v>79</v>
      </c>
      <c r="D7" s="4" t="s">
        <v>80</v>
      </c>
      <c r="E7" s="4" t="s">
        <v>81</v>
      </c>
      <c r="F7" s="4" t="s">
        <v>85</v>
      </c>
      <c r="G7" s="4" t="s">
        <v>86</v>
      </c>
    </row>
    <row r="8" ht="15" customHeight="1" spans="1:7">
      <c r="A8" s="12" t="s">
        <v>77</v>
      </c>
      <c r="B8" s="13" t="s">
        <v>87</v>
      </c>
      <c r="C8" s="4" t="s">
        <v>79</v>
      </c>
      <c r="D8" s="4" t="s">
        <v>87</v>
      </c>
      <c r="E8" s="4" t="s">
        <v>88</v>
      </c>
      <c r="F8" s="4" t="s">
        <v>89</v>
      </c>
      <c r="G8" s="4" t="s">
        <v>90</v>
      </c>
    </row>
    <row r="9" ht="15" customHeight="1" spans="1:7">
      <c r="A9" s="12" t="s">
        <v>77</v>
      </c>
      <c r="B9" s="13" t="s">
        <v>91</v>
      </c>
      <c r="C9" s="4" t="s">
        <v>79</v>
      </c>
      <c r="D9" s="4" t="s">
        <v>80</v>
      </c>
      <c r="E9" s="4" t="s">
        <v>92</v>
      </c>
      <c r="F9" s="4" t="s">
        <v>93</v>
      </c>
      <c r="G9" s="4" t="s">
        <v>94</v>
      </c>
    </row>
    <row r="10" ht="15" customHeight="1" spans="1:7">
      <c r="A10" s="12" t="s">
        <v>77</v>
      </c>
      <c r="B10" s="13" t="s">
        <v>95</v>
      </c>
      <c r="C10" s="4" t="s">
        <v>79</v>
      </c>
      <c r="D10" s="4" t="s">
        <v>96</v>
      </c>
      <c r="E10" s="4" t="s">
        <v>97</v>
      </c>
      <c r="F10" s="4" t="s">
        <v>98</v>
      </c>
      <c r="G10" s="4" t="s">
        <v>99</v>
      </c>
    </row>
    <row r="11" ht="23.25" customHeight="1" spans="1:7">
      <c r="A11" s="12" t="s">
        <v>77</v>
      </c>
      <c r="B11" s="13" t="s">
        <v>100</v>
      </c>
      <c r="C11" s="4" t="s">
        <v>79</v>
      </c>
      <c r="D11" s="4" t="s">
        <v>100</v>
      </c>
      <c r="E11" s="4" t="s">
        <v>101</v>
      </c>
      <c r="F11" s="4" t="s">
        <v>102</v>
      </c>
      <c r="G11" s="4" t="s">
        <v>103</v>
      </c>
    </row>
    <row r="12" ht="15" customHeight="1" spans="1:7">
      <c r="A12" s="12" t="s">
        <v>77</v>
      </c>
      <c r="B12" s="13" t="s">
        <v>104</v>
      </c>
      <c r="C12" s="4" t="s">
        <v>79</v>
      </c>
      <c r="D12" s="4" t="s">
        <v>100</v>
      </c>
      <c r="E12" s="4" t="s">
        <v>105</v>
      </c>
      <c r="F12" s="4" t="s">
        <v>102</v>
      </c>
      <c r="G12" s="4" t="s">
        <v>103</v>
      </c>
    </row>
    <row r="13" ht="15" customHeight="1" spans="1:7">
      <c r="A13" s="12" t="s">
        <v>77</v>
      </c>
      <c r="B13" s="13" t="s">
        <v>106</v>
      </c>
      <c r="C13" s="4" t="s">
        <v>79</v>
      </c>
      <c r="D13" s="4" t="s">
        <v>107</v>
      </c>
      <c r="E13" s="4" t="s">
        <v>108</v>
      </c>
      <c r="F13" s="4" t="s">
        <v>109</v>
      </c>
      <c r="G13" s="4" t="s">
        <v>109</v>
      </c>
    </row>
    <row r="15" ht="15" customHeight="1" spans="1:7">
      <c r="A15" s="11" t="s">
        <v>110</v>
      </c>
    </row>
    <row r="16" ht="15" customHeight="1" spans="1:7">
      <c r="A16" s="2" t="s">
        <v>70</v>
      </c>
      <c r="B16" s="2" t="s">
        <v>71</v>
      </c>
      <c r="C16" s="2" t="s">
        <v>72</v>
      </c>
      <c r="D16" s="2" t="s">
        <v>73</v>
      </c>
      <c r="E16" s="2" t="s">
        <v>74</v>
      </c>
      <c r="F16" s="2" t="s">
        <v>75</v>
      </c>
      <c r="G16" s="2" t="s">
        <v>76</v>
      </c>
    </row>
    <row r="17" ht="23.25" customHeight="1" spans="1:7">
      <c r="A17" s="12" t="s">
        <v>111</v>
      </c>
      <c r="B17" s="13" t="s">
        <v>78</v>
      </c>
      <c r="C17" s="4" t="s">
        <v>79</v>
      </c>
      <c r="D17" s="4" t="s">
        <v>80</v>
      </c>
      <c r="E17" s="4" t="s">
        <v>81</v>
      </c>
      <c r="F17" s="4" t="s">
        <v>112</v>
      </c>
      <c r="G17" s="4" t="s">
        <v>113</v>
      </c>
    </row>
    <row r="18" ht="23.25" customHeight="1" spans="1:7">
      <c r="A18" s="12" t="s">
        <v>111</v>
      </c>
      <c r="B18" s="13" t="s">
        <v>84</v>
      </c>
      <c r="C18" s="4" t="s">
        <v>79</v>
      </c>
      <c r="D18" s="4" t="s">
        <v>80</v>
      </c>
      <c r="E18" s="4" t="s">
        <v>81</v>
      </c>
      <c r="F18" s="4" t="s">
        <v>114</v>
      </c>
      <c r="G18" s="4" t="s">
        <v>115</v>
      </c>
    </row>
    <row r="19" ht="15" customHeight="1" spans="1:7">
      <c r="A19" s="12" t="s">
        <v>111</v>
      </c>
      <c r="B19" s="13" t="s">
        <v>87</v>
      </c>
      <c r="C19" s="4" t="s">
        <v>79</v>
      </c>
      <c r="D19" s="4" t="s">
        <v>87</v>
      </c>
      <c r="E19" s="4" t="s">
        <v>88</v>
      </c>
      <c r="F19" s="4" t="s">
        <v>116</v>
      </c>
      <c r="G19" s="4" t="s">
        <v>117</v>
      </c>
    </row>
    <row r="20" ht="15" customHeight="1" spans="1:7">
      <c r="A20" s="12" t="s">
        <v>111</v>
      </c>
      <c r="B20" s="13" t="s">
        <v>91</v>
      </c>
      <c r="C20" s="4" t="s">
        <v>79</v>
      </c>
      <c r="D20" s="4" t="s">
        <v>80</v>
      </c>
      <c r="E20" s="4" t="s">
        <v>92</v>
      </c>
      <c r="F20" s="4" t="s">
        <v>118</v>
      </c>
      <c r="G20" s="4" t="s">
        <v>119</v>
      </c>
    </row>
    <row r="21" ht="15" customHeight="1" spans="1:7">
      <c r="A21" s="12" t="s">
        <v>111</v>
      </c>
      <c r="B21" s="13" t="s">
        <v>120</v>
      </c>
      <c r="C21" s="4" t="s">
        <v>79</v>
      </c>
      <c r="D21" s="4" t="s">
        <v>80</v>
      </c>
      <c r="E21" s="4" t="s">
        <v>121</v>
      </c>
      <c r="F21" s="4" t="s">
        <v>122</v>
      </c>
      <c r="G21" s="4" t="s">
        <v>123</v>
      </c>
    </row>
    <row r="22" ht="15" customHeight="1" spans="1:7">
      <c r="A22" s="12" t="s">
        <v>111</v>
      </c>
      <c r="B22" s="13" t="s">
        <v>124</v>
      </c>
      <c r="C22" s="4" t="s">
        <v>79</v>
      </c>
      <c r="D22" s="4" t="s">
        <v>125</v>
      </c>
      <c r="E22" s="4" t="s">
        <v>126</v>
      </c>
      <c r="F22" s="4" t="s">
        <v>127</v>
      </c>
      <c r="G22" s="4" t="s">
        <v>128</v>
      </c>
    </row>
    <row r="23" ht="15" customHeight="1" spans="1:7">
      <c r="A23" s="12" t="s">
        <v>111</v>
      </c>
      <c r="B23" s="13" t="s">
        <v>129</v>
      </c>
      <c r="C23" s="4" t="s">
        <v>79</v>
      </c>
      <c r="D23" s="4" t="s">
        <v>125</v>
      </c>
      <c r="E23" s="4" t="s">
        <v>130</v>
      </c>
      <c r="F23" s="4" t="s">
        <v>131</v>
      </c>
      <c r="G23" s="4" t="s">
        <v>132</v>
      </c>
    </row>
    <row r="24" ht="15" customHeight="1" spans="1:7">
      <c r="A24" s="12" t="s">
        <v>111</v>
      </c>
      <c r="B24" s="13" t="s">
        <v>133</v>
      </c>
      <c r="C24" s="4" t="s">
        <v>79</v>
      </c>
      <c r="D24" s="4" t="s">
        <v>80</v>
      </c>
      <c r="E24" s="4" t="s">
        <v>134</v>
      </c>
      <c r="F24" s="4" t="s">
        <v>135</v>
      </c>
      <c r="G24" s="4" t="s">
        <v>136</v>
      </c>
    </row>
    <row r="25" ht="15" customHeight="1" spans="1:7">
      <c r="A25" s="12" t="s">
        <v>111</v>
      </c>
      <c r="B25" s="13" t="s">
        <v>137</v>
      </c>
      <c r="C25" s="4" t="s">
        <v>79</v>
      </c>
      <c r="D25" s="4" t="s">
        <v>125</v>
      </c>
      <c r="E25" s="4" t="s">
        <v>138</v>
      </c>
      <c r="F25" s="4" t="s">
        <v>139</v>
      </c>
      <c r="G25" s="4" t="s">
        <v>140</v>
      </c>
    </row>
    <row r="26" ht="15" customHeight="1" spans="1:7">
      <c r="A26" s="12" t="s">
        <v>111</v>
      </c>
      <c r="B26" s="13" t="s">
        <v>141</v>
      </c>
      <c r="C26" s="4" t="s">
        <v>79</v>
      </c>
      <c r="D26" s="4" t="s">
        <v>125</v>
      </c>
      <c r="E26" s="4" t="s">
        <v>142</v>
      </c>
      <c r="F26" s="4" t="s">
        <v>143</v>
      </c>
      <c r="G26" s="4" t="s">
        <v>144</v>
      </c>
    </row>
    <row r="27" ht="15" customHeight="1" spans="1:7">
      <c r="A27" s="12" t="s">
        <v>111</v>
      </c>
      <c r="B27" s="13" t="s">
        <v>145</v>
      </c>
      <c r="C27" s="4" t="s">
        <v>79</v>
      </c>
      <c r="D27" s="4" t="s">
        <v>125</v>
      </c>
      <c r="E27" s="4" t="s">
        <v>146</v>
      </c>
      <c r="F27" s="4" t="s">
        <v>147</v>
      </c>
      <c r="G27" s="4" t="s">
        <v>148</v>
      </c>
    </row>
    <row r="28" ht="15" customHeight="1" spans="1:7">
      <c r="A28" s="12" t="s">
        <v>111</v>
      </c>
      <c r="B28" s="13" t="s">
        <v>149</v>
      </c>
      <c r="C28" s="4" t="s">
        <v>79</v>
      </c>
      <c r="D28" s="4" t="s">
        <v>125</v>
      </c>
      <c r="E28" s="4" t="s">
        <v>150</v>
      </c>
      <c r="F28" s="4" t="s">
        <v>151</v>
      </c>
      <c r="G28" s="4" t="s">
        <v>152</v>
      </c>
    </row>
    <row r="29" ht="15" customHeight="1" spans="1:7">
      <c r="A29" s="12" t="s">
        <v>111</v>
      </c>
      <c r="B29" s="13" t="s">
        <v>153</v>
      </c>
      <c r="C29" s="4" t="s">
        <v>79</v>
      </c>
      <c r="D29" s="4" t="s">
        <v>80</v>
      </c>
      <c r="E29" s="4" t="s">
        <v>154</v>
      </c>
      <c r="F29" s="4" t="s">
        <v>155</v>
      </c>
      <c r="G29" s="4" t="s">
        <v>156</v>
      </c>
    </row>
    <row r="30" ht="15" customHeight="1" spans="1:7">
      <c r="A30" s="12" t="s">
        <v>111</v>
      </c>
      <c r="B30" s="13" t="s">
        <v>157</v>
      </c>
      <c r="C30" s="4" t="s">
        <v>79</v>
      </c>
      <c r="D30" s="4" t="s">
        <v>80</v>
      </c>
      <c r="E30" s="4" t="s">
        <v>158</v>
      </c>
      <c r="F30" s="4" t="s">
        <v>159</v>
      </c>
      <c r="G30" s="4" t="s">
        <v>160</v>
      </c>
    </row>
    <row r="31" ht="15" customHeight="1" spans="1:7">
      <c r="A31" s="12" t="s">
        <v>111</v>
      </c>
      <c r="B31" s="13" t="s">
        <v>161</v>
      </c>
      <c r="C31" s="4" t="s">
        <v>79</v>
      </c>
      <c r="D31" s="4" t="s">
        <v>162</v>
      </c>
      <c r="E31" s="4" t="s">
        <v>163</v>
      </c>
      <c r="F31" s="4" t="s">
        <v>164</v>
      </c>
      <c r="G31" s="4" t="s">
        <v>165</v>
      </c>
    </row>
    <row r="32" ht="15" customHeight="1" spans="1:7">
      <c r="A32" s="12" t="s">
        <v>111</v>
      </c>
      <c r="B32" s="13" t="s">
        <v>166</v>
      </c>
      <c r="C32" s="4" t="s">
        <v>167</v>
      </c>
      <c r="D32" s="4" t="s">
        <v>162</v>
      </c>
      <c r="E32" s="4" t="s">
        <v>163</v>
      </c>
      <c r="F32" s="4" t="s">
        <v>168</v>
      </c>
      <c r="G32" s="4" t="s">
        <v>169</v>
      </c>
    </row>
    <row r="33" ht="15" customHeight="1" spans="1:7">
      <c r="A33" s="12" t="s">
        <v>111</v>
      </c>
      <c r="B33" s="13" t="s">
        <v>170</v>
      </c>
      <c r="C33" s="4" t="s">
        <v>171</v>
      </c>
      <c r="D33" s="4" t="s">
        <v>162</v>
      </c>
      <c r="E33" s="4" t="s">
        <v>163</v>
      </c>
      <c r="F33" s="4" t="s">
        <v>169</v>
      </c>
      <c r="G33" s="4" t="s">
        <v>172</v>
      </c>
    </row>
    <row r="34" ht="23.25" customHeight="1" spans="1:7">
      <c r="A34" s="12" t="s">
        <v>111</v>
      </c>
      <c r="B34" s="13" t="s">
        <v>173</v>
      </c>
      <c r="C34" s="4" t="s">
        <v>174</v>
      </c>
      <c r="D34" s="4" t="s">
        <v>162</v>
      </c>
      <c r="E34" s="4" t="s">
        <v>163</v>
      </c>
      <c r="F34" s="4" t="s">
        <v>175</v>
      </c>
      <c r="G34" s="4" t="s">
        <v>175</v>
      </c>
    </row>
    <row r="35" ht="23.25" customHeight="1" spans="1:7">
      <c r="A35" s="12" t="s">
        <v>111</v>
      </c>
      <c r="B35" s="13" t="s">
        <v>100</v>
      </c>
      <c r="C35" s="4" t="s">
        <v>79</v>
      </c>
      <c r="D35" s="4" t="s">
        <v>100</v>
      </c>
      <c r="E35" s="4" t="s">
        <v>101</v>
      </c>
      <c r="F35" s="4" t="s">
        <v>176</v>
      </c>
      <c r="G35" s="4" t="s">
        <v>177</v>
      </c>
    </row>
    <row r="36" ht="15" customHeight="1" spans="1:7">
      <c r="A36" s="12" t="s">
        <v>111</v>
      </c>
      <c r="B36" s="13" t="s">
        <v>104</v>
      </c>
      <c r="C36" s="4" t="s">
        <v>79</v>
      </c>
      <c r="D36" s="4" t="s">
        <v>100</v>
      </c>
      <c r="E36" s="4" t="s">
        <v>105</v>
      </c>
      <c r="F36" s="4" t="s">
        <v>176</v>
      </c>
      <c r="G36" s="4" t="s">
        <v>177</v>
      </c>
    </row>
    <row r="37" ht="15" customHeight="1" spans="1:7">
      <c r="A37" s="12" t="s">
        <v>111</v>
      </c>
      <c r="B37" s="13" t="s">
        <v>106</v>
      </c>
      <c r="C37" s="4" t="s">
        <v>79</v>
      </c>
      <c r="D37" s="4" t="s">
        <v>107</v>
      </c>
      <c r="E37" s="4" t="s">
        <v>108</v>
      </c>
      <c r="F37" s="4" t="s">
        <v>109</v>
      </c>
      <c r="G37" s="4" t="s">
        <v>109</v>
      </c>
    </row>
    <row r="39" ht="15" customHeight="1" spans="1:7">
      <c r="A39" s="11" t="s">
        <v>178</v>
      </c>
    </row>
    <row r="40" ht="15" customHeight="1" spans="1:7">
      <c r="A40" s="2" t="s">
        <v>70</v>
      </c>
      <c r="B40" s="2" t="s">
        <v>71</v>
      </c>
      <c r="C40" s="2" t="s">
        <v>72</v>
      </c>
      <c r="D40" s="2" t="s">
        <v>73</v>
      </c>
      <c r="E40" s="2" t="s">
        <v>74</v>
      </c>
      <c r="F40" s="2" t="s">
        <v>75</v>
      </c>
      <c r="G40" s="2" t="s">
        <v>76</v>
      </c>
    </row>
    <row r="41" ht="15" customHeight="1" spans="1:7">
      <c r="A41" s="12" t="s">
        <v>179</v>
      </c>
      <c r="B41" s="13" t="s">
        <v>180</v>
      </c>
      <c r="C41" s="4" t="s">
        <v>79</v>
      </c>
      <c r="D41" s="4" t="s">
        <v>80</v>
      </c>
      <c r="E41" s="4" t="s">
        <v>181</v>
      </c>
      <c r="F41" s="4" t="s">
        <v>182</v>
      </c>
      <c r="G41" s="4" t="s">
        <v>183</v>
      </c>
    </row>
    <row r="42" ht="15" customHeight="1" spans="1:7">
      <c r="A42" s="12" t="s">
        <v>179</v>
      </c>
      <c r="B42" s="13" t="s">
        <v>184</v>
      </c>
      <c r="C42" s="4" t="s">
        <v>79</v>
      </c>
      <c r="D42" s="4" t="s">
        <v>80</v>
      </c>
      <c r="E42" s="4" t="s">
        <v>185</v>
      </c>
      <c r="F42" s="4" t="s">
        <v>186</v>
      </c>
      <c r="G42" s="4" t="s">
        <v>187</v>
      </c>
    </row>
    <row r="43" ht="15" customHeight="1" spans="1:7">
      <c r="A43" s="12" t="s">
        <v>179</v>
      </c>
      <c r="B43" s="13" t="s">
        <v>133</v>
      </c>
      <c r="C43" s="4" t="s">
        <v>79</v>
      </c>
      <c r="D43" s="4" t="s">
        <v>80</v>
      </c>
      <c r="E43" s="4" t="s">
        <v>134</v>
      </c>
      <c r="F43" s="4" t="s">
        <v>188</v>
      </c>
      <c r="G43" s="4" t="s">
        <v>189</v>
      </c>
    </row>
    <row r="44" ht="15" customHeight="1" spans="1:7">
      <c r="A44" s="12" t="s">
        <v>179</v>
      </c>
      <c r="B44" s="13" t="s">
        <v>137</v>
      </c>
      <c r="C44" s="4" t="s">
        <v>79</v>
      </c>
      <c r="D44" s="4" t="s">
        <v>125</v>
      </c>
      <c r="E44" s="4" t="s">
        <v>138</v>
      </c>
      <c r="F44" s="4" t="s">
        <v>139</v>
      </c>
      <c r="G44" s="4" t="s">
        <v>190</v>
      </c>
    </row>
    <row r="45" ht="15" customHeight="1" spans="1:7">
      <c r="A45" s="12" t="s">
        <v>179</v>
      </c>
      <c r="B45" s="13" t="s">
        <v>141</v>
      </c>
      <c r="C45" s="4" t="s">
        <v>79</v>
      </c>
      <c r="D45" s="4" t="s">
        <v>125</v>
      </c>
      <c r="E45" s="4" t="s">
        <v>142</v>
      </c>
      <c r="F45" s="4" t="s">
        <v>143</v>
      </c>
      <c r="G45" s="4" t="s">
        <v>191</v>
      </c>
    </row>
    <row r="46" ht="15" customHeight="1" spans="1:7">
      <c r="A46" s="12" t="s">
        <v>179</v>
      </c>
      <c r="B46" s="13" t="s">
        <v>145</v>
      </c>
      <c r="C46" s="4" t="s">
        <v>79</v>
      </c>
      <c r="D46" s="4" t="s">
        <v>125</v>
      </c>
      <c r="E46" s="4" t="s">
        <v>146</v>
      </c>
      <c r="F46" s="4" t="s">
        <v>192</v>
      </c>
      <c r="G46" s="4" t="s">
        <v>193</v>
      </c>
    </row>
    <row r="47" ht="15" customHeight="1" spans="1:7">
      <c r="A47" s="12" t="s">
        <v>179</v>
      </c>
      <c r="B47" s="13" t="s">
        <v>149</v>
      </c>
      <c r="C47" s="4" t="s">
        <v>79</v>
      </c>
      <c r="D47" s="4" t="s">
        <v>125</v>
      </c>
      <c r="E47" s="4" t="s">
        <v>150</v>
      </c>
      <c r="F47" s="4" t="s">
        <v>194</v>
      </c>
      <c r="G47" s="4" t="s">
        <v>195</v>
      </c>
    </row>
    <row r="48" ht="15" customHeight="1" spans="1:7">
      <c r="A48" s="12" t="s">
        <v>179</v>
      </c>
      <c r="B48" s="13" t="s">
        <v>153</v>
      </c>
      <c r="C48" s="4" t="s">
        <v>79</v>
      </c>
      <c r="D48" s="4" t="s">
        <v>80</v>
      </c>
      <c r="E48" s="4" t="s">
        <v>154</v>
      </c>
      <c r="F48" s="4" t="s">
        <v>196</v>
      </c>
      <c r="G48" s="4" t="s">
        <v>197</v>
      </c>
    </row>
    <row r="49" ht="15" customHeight="1" spans="1:7">
      <c r="A49" s="12" t="s">
        <v>179</v>
      </c>
      <c r="B49" s="13" t="s">
        <v>157</v>
      </c>
      <c r="C49" s="4" t="s">
        <v>79</v>
      </c>
      <c r="D49" s="4" t="s">
        <v>80</v>
      </c>
      <c r="E49" s="4" t="s">
        <v>158</v>
      </c>
      <c r="F49" s="4" t="s">
        <v>198</v>
      </c>
      <c r="G49" s="4" t="s">
        <v>199</v>
      </c>
    </row>
    <row r="50" ht="23.25" customHeight="1" spans="1:7">
      <c r="A50" s="12" t="s">
        <v>179</v>
      </c>
      <c r="B50" s="13" t="s">
        <v>200</v>
      </c>
      <c r="C50" s="4" t="s">
        <v>79</v>
      </c>
      <c r="D50" s="4" t="s">
        <v>80</v>
      </c>
      <c r="E50" s="4" t="s">
        <v>81</v>
      </c>
      <c r="F50" s="4" t="s">
        <v>201</v>
      </c>
      <c r="G50" s="4" t="s">
        <v>202</v>
      </c>
    </row>
    <row r="51" ht="23.25" customHeight="1" spans="1:7">
      <c r="A51" s="12" t="s">
        <v>179</v>
      </c>
      <c r="B51" s="13" t="s">
        <v>203</v>
      </c>
      <c r="C51" s="4" t="s">
        <v>79</v>
      </c>
      <c r="D51" s="4" t="s">
        <v>80</v>
      </c>
      <c r="E51" s="4" t="s">
        <v>81</v>
      </c>
      <c r="F51" s="4" t="s">
        <v>204</v>
      </c>
      <c r="G51" s="4" t="s">
        <v>205</v>
      </c>
    </row>
    <row r="52" ht="15" customHeight="1" spans="1:7">
      <c r="A52" s="12" t="s">
        <v>179</v>
      </c>
      <c r="B52" s="13" t="s">
        <v>206</v>
      </c>
      <c r="C52" s="4" t="s">
        <v>79</v>
      </c>
      <c r="D52" s="4" t="s">
        <v>80</v>
      </c>
      <c r="E52" s="4" t="s">
        <v>207</v>
      </c>
      <c r="F52" s="4" t="s">
        <v>208</v>
      </c>
      <c r="G52" s="4" t="s">
        <v>209</v>
      </c>
    </row>
    <row r="53" ht="15" customHeight="1" spans="1:7">
      <c r="A53" s="12" t="s">
        <v>179</v>
      </c>
      <c r="B53" s="13" t="s">
        <v>87</v>
      </c>
      <c r="C53" s="4" t="s">
        <v>79</v>
      </c>
      <c r="D53" s="4" t="s">
        <v>87</v>
      </c>
      <c r="E53" s="4" t="s">
        <v>88</v>
      </c>
      <c r="F53" s="4" t="s">
        <v>210</v>
      </c>
      <c r="G53" s="4" t="s">
        <v>211</v>
      </c>
    </row>
    <row r="54" ht="15" customHeight="1" spans="1:7">
      <c r="A54" s="12" t="s">
        <v>179</v>
      </c>
      <c r="B54" s="13" t="s">
        <v>91</v>
      </c>
      <c r="C54" s="4" t="s">
        <v>79</v>
      </c>
      <c r="D54" s="4" t="s">
        <v>80</v>
      </c>
      <c r="E54" s="4" t="s">
        <v>92</v>
      </c>
      <c r="F54" s="4" t="s">
        <v>212</v>
      </c>
      <c r="G54" s="4" t="s">
        <v>213</v>
      </c>
    </row>
    <row r="55" ht="15" customHeight="1" spans="1:7">
      <c r="A55" s="12" t="s">
        <v>179</v>
      </c>
      <c r="B55" s="13" t="s">
        <v>214</v>
      </c>
      <c r="C55" s="4" t="s">
        <v>79</v>
      </c>
      <c r="D55" s="4" t="s">
        <v>215</v>
      </c>
      <c r="E55" s="4" t="s">
        <v>216</v>
      </c>
      <c r="F55" s="4" t="s">
        <v>217</v>
      </c>
      <c r="G55" s="4" t="s">
        <v>190</v>
      </c>
    </row>
    <row r="56" ht="15" customHeight="1" spans="1:7">
      <c r="A56" s="12" t="s">
        <v>179</v>
      </c>
      <c r="B56" s="13" t="s">
        <v>170</v>
      </c>
      <c r="C56" s="4" t="s">
        <v>79</v>
      </c>
      <c r="D56" s="4" t="s">
        <v>162</v>
      </c>
      <c r="E56" s="4" t="s">
        <v>163</v>
      </c>
      <c r="F56" s="4" t="s">
        <v>172</v>
      </c>
      <c r="G56" s="4" t="s">
        <v>172</v>
      </c>
    </row>
    <row r="57" ht="15" customHeight="1" spans="1:7">
      <c r="A57" s="12" t="s">
        <v>179</v>
      </c>
      <c r="B57" s="13" t="s">
        <v>173</v>
      </c>
      <c r="C57" s="4" t="s">
        <v>79</v>
      </c>
      <c r="D57" s="4" t="s">
        <v>162</v>
      </c>
      <c r="E57" s="4" t="s">
        <v>163</v>
      </c>
      <c r="F57" s="4" t="s">
        <v>175</v>
      </c>
      <c r="G57" s="4" t="s">
        <v>175</v>
      </c>
    </row>
    <row r="58" ht="15" customHeight="1" spans="1:7">
      <c r="A58" s="12" t="s">
        <v>179</v>
      </c>
      <c r="B58" s="13" t="s">
        <v>218</v>
      </c>
      <c r="C58" s="4" t="s">
        <v>79</v>
      </c>
      <c r="D58" s="4" t="s">
        <v>162</v>
      </c>
      <c r="E58" s="4" t="s">
        <v>163</v>
      </c>
      <c r="F58" s="4" t="s">
        <v>219</v>
      </c>
      <c r="G58" s="4" t="s">
        <v>219</v>
      </c>
    </row>
    <row r="59" ht="15" customHeight="1" spans="1:7">
      <c r="A59" s="12" t="s">
        <v>179</v>
      </c>
      <c r="B59" s="13" t="s">
        <v>220</v>
      </c>
      <c r="C59" s="4" t="s">
        <v>79</v>
      </c>
      <c r="D59" s="4" t="s">
        <v>162</v>
      </c>
      <c r="E59" s="4" t="s">
        <v>163</v>
      </c>
      <c r="F59" s="4" t="s">
        <v>164</v>
      </c>
      <c r="G59" s="4" t="s">
        <v>165</v>
      </c>
    </row>
    <row r="60" ht="23.25" customHeight="1" spans="1:7">
      <c r="A60" s="12" t="s">
        <v>179</v>
      </c>
      <c r="B60" s="13" t="s">
        <v>100</v>
      </c>
      <c r="C60" s="4" t="s">
        <v>79</v>
      </c>
      <c r="D60" s="4" t="s">
        <v>100</v>
      </c>
      <c r="E60" s="4" t="s">
        <v>101</v>
      </c>
      <c r="F60" s="4" t="s">
        <v>221</v>
      </c>
      <c r="G60" s="4" t="s">
        <v>222</v>
      </c>
    </row>
    <row r="61" ht="15" customHeight="1" spans="1:7">
      <c r="A61" s="12" t="s">
        <v>179</v>
      </c>
      <c r="B61" s="13" t="s">
        <v>104</v>
      </c>
      <c r="C61" s="4" t="s">
        <v>79</v>
      </c>
      <c r="D61" s="4" t="s">
        <v>100</v>
      </c>
      <c r="E61" s="4" t="s">
        <v>105</v>
      </c>
      <c r="F61" s="4" t="s">
        <v>221</v>
      </c>
      <c r="G61" s="4" t="s">
        <v>222</v>
      </c>
    </row>
    <row r="62" ht="15" customHeight="1" spans="1:7">
      <c r="A62" s="12" t="s">
        <v>179</v>
      </c>
      <c r="B62" s="13" t="s">
        <v>106</v>
      </c>
      <c r="C62" s="4" t="s">
        <v>79</v>
      </c>
      <c r="D62" s="4" t="s">
        <v>107</v>
      </c>
      <c r="E62" s="4" t="s">
        <v>108</v>
      </c>
      <c r="F62" s="4" t="s">
        <v>109</v>
      </c>
      <c r="G62" s="4" t="s">
        <v>109</v>
      </c>
    </row>
    <row r="64" ht="15" customHeight="1" spans="1:7">
      <c r="A64" s="11" t="s">
        <v>223</v>
      </c>
    </row>
    <row r="65" ht="15" customHeight="1" spans="1:7">
      <c r="A65" s="2" t="s">
        <v>70</v>
      </c>
      <c r="B65" s="2" t="s">
        <v>71</v>
      </c>
      <c r="C65" s="2" t="s">
        <v>72</v>
      </c>
      <c r="D65" s="2" t="s">
        <v>73</v>
      </c>
      <c r="E65" s="2" t="s">
        <v>74</v>
      </c>
      <c r="F65" s="2" t="s">
        <v>75</v>
      </c>
      <c r="G65" s="2" t="s">
        <v>76</v>
      </c>
    </row>
    <row r="66" ht="23.25" customHeight="1" spans="1:7">
      <c r="A66" s="12" t="s">
        <v>24</v>
      </c>
      <c r="B66" s="13" t="s">
        <v>78</v>
      </c>
      <c r="C66" s="4" t="s">
        <v>79</v>
      </c>
      <c r="D66" s="4" t="s">
        <v>80</v>
      </c>
      <c r="E66" s="4" t="s">
        <v>81</v>
      </c>
      <c r="F66" s="4" t="s">
        <v>224</v>
      </c>
      <c r="G66" s="4" t="s">
        <v>225</v>
      </c>
    </row>
    <row r="67" ht="23.25" customHeight="1" spans="1:7">
      <c r="A67" s="12" t="s">
        <v>24</v>
      </c>
      <c r="B67" s="13" t="s">
        <v>84</v>
      </c>
      <c r="C67" s="4" t="s">
        <v>79</v>
      </c>
      <c r="D67" s="4" t="s">
        <v>80</v>
      </c>
      <c r="E67" s="4" t="s">
        <v>81</v>
      </c>
      <c r="F67" s="4" t="s">
        <v>226</v>
      </c>
      <c r="G67" s="4" t="s">
        <v>227</v>
      </c>
    </row>
    <row r="68" ht="15" customHeight="1" spans="1:7">
      <c r="A68" s="12" t="s">
        <v>24</v>
      </c>
      <c r="B68" s="13" t="s">
        <v>95</v>
      </c>
      <c r="C68" s="4" t="s">
        <v>79</v>
      </c>
      <c r="D68" s="4" t="s">
        <v>96</v>
      </c>
      <c r="E68" s="4" t="s">
        <v>97</v>
      </c>
      <c r="F68" s="4" t="s">
        <v>228</v>
      </c>
      <c r="G68" s="4" t="s">
        <v>229</v>
      </c>
    </row>
    <row r="69" ht="15" customHeight="1" spans="1:7">
      <c r="A69" s="12" t="s">
        <v>24</v>
      </c>
      <c r="B69" s="13" t="s">
        <v>87</v>
      </c>
      <c r="C69" s="4" t="s">
        <v>79</v>
      </c>
      <c r="D69" s="4" t="s">
        <v>87</v>
      </c>
      <c r="E69" s="4" t="s">
        <v>88</v>
      </c>
      <c r="F69" s="4" t="s">
        <v>230</v>
      </c>
      <c r="G69" s="4" t="s">
        <v>231</v>
      </c>
    </row>
    <row r="70" ht="15" customHeight="1" spans="1:7">
      <c r="A70" s="12" t="s">
        <v>24</v>
      </c>
      <c r="B70" s="13" t="s">
        <v>91</v>
      </c>
      <c r="C70" s="4" t="s">
        <v>79</v>
      </c>
      <c r="D70" s="4" t="s">
        <v>80</v>
      </c>
      <c r="E70" s="4" t="s">
        <v>92</v>
      </c>
      <c r="F70" s="4" t="s">
        <v>232</v>
      </c>
      <c r="G70" s="4" t="s">
        <v>233</v>
      </c>
    </row>
    <row r="71" ht="15" customHeight="1" spans="1:7">
      <c r="A71" s="12" t="s">
        <v>24</v>
      </c>
      <c r="B71" s="13" t="s">
        <v>234</v>
      </c>
      <c r="C71" s="4" t="s">
        <v>79</v>
      </c>
      <c r="D71" s="4" t="s">
        <v>80</v>
      </c>
      <c r="E71" s="4" t="s">
        <v>235</v>
      </c>
      <c r="F71" s="4" t="s">
        <v>236</v>
      </c>
      <c r="G71" s="4" t="s">
        <v>237</v>
      </c>
    </row>
    <row r="72" ht="15" customHeight="1" spans="1:7">
      <c r="A72" s="12" t="s">
        <v>24</v>
      </c>
      <c r="B72" s="13" t="s">
        <v>238</v>
      </c>
      <c r="C72" s="4" t="s">
        <v>79</v>
      </c>
      <c r="D72" s="4" t="s">
        <v>96</v>
      </c>
      <c r="E72" s="4" t="s">
        <v>239</v>
      </c>
      <c r="F72" s="4" t="s">
        <v>240</v>
      </c>
      <c r="G72" s="4" t="s">
        <v>241</v>
      </c>
    </row>
    <row r="73" ht="15" customHeight="1" spans="1:7">
      <c r="A73" s="12" t="s">
        <v>24</v>
      </c>
      <c r="B73" s="13" t="s">
        <v>242</v>
      </c>
      <c r="C73" s="4" t="s">
        <v>79</v>
      </c>
      <c r="D73" s="4" t="s">
        <v>125</v>
      </c>
      <c r="E73" s="4" t="s">
        <v>243</v>
      </c>
      <c r="F73" s="4" t="s">
        <v>244</v>
      </c>
      <c r="G73" s="4" t="s">
        <v>245</v>
      </c>
    </row>
    <row r="74" ht="15" customHeight="1" spans="1:7">
      <c r="A74" s="12" t="s">
        <v>24</v>
      </c>
      <c r="B74" s="13" t="s">
        <v>246</v>
      </c>
      <c r="C74" s="4" t="s">
        <v>79</v>
      </c>
      <c r="D74" s="4" t="s">
        <v>80</v>
      </c>
      <c r="E74" s="4" t="s">
        <v>181</v>
      </c>
      <c r="F74" s="4" t="s">
        <v>247</v>
      </c>
      <c r="G74" s="4" t="s">
        <v>248</v>
      </c>
    </row>
    <row r="75" ht="15" customHeight="1" spans="1:7">
      <c r="A75" s="12" t="s">
        <v>24</v>
      </c>
      <c r="B75" s="13" t="s">
        <v>249</v>
      </c>
      <c r="C75" s="4" t="s">
        <v>79</v>
      </c>
      <c r="D75" s="4" t="s">
        <v>162</v>
      </c>
      <c r="E75" s="4" t="s">
        <v>163</v>
      </c>
      <c r="F75" s="4" t="s">
        <v>250</v>
      </c>
      <c r="G75" s="4" t="s">
        <v>251</v>
      </c>
    </row>
    <row r="76" ht="15" customHeight="1" spans="1:7">
      <c r="A76" s="12" t="s">
        <v>24</v>
      </c>
      <c r="B76" s="13" t="s">
        <v>252</v>
      </c>
      <c r="C76" s="4" t="s">
        <v>79</v>
      </c>
      <c r="D76" s="4" t="s">
        <v>162</v>
      </c>
      <c r="E76" s="4" t="s">
        <v>163</v>
      </c>
      <c r="F76" s="4" t="s">
        <v>253</v>
      </c>
      <c r="G76" s="4" t="s">
        <v>253</v>
      </c>
    </row>
    <row r="77" ht="23.25" customHeight="1" spans="1:7">
      <c r="A77" s="12" t="s">
        <v>24</v>
      </c>
      <c r="B77" s="13" t="s">
        <v>254</v>
      </c>
      <c r="C77" s="4" t="s">
        <v>79</v>
      </c>
      <c r="D77" s="4" t="s">
        <v>100</v>
      </c>
      <c r="E77" s="4" t="s">
        <v>101</v>
      </c>
      <c r="F77" s="4" t="s">
        <v>255</v>
      </c>
      <c r="G77" s="4" t="s">
        <v>256</v>
      </c>
    </row>
    <row r="79" ht="15" customHeight="1" spans="1:7">
      <c r="A79" s="11" t="s">
        <v>257</v>
      </c>
    </row>
    <row r="80" ht="15.75" customHeight="1" spans="1:7">
      <c r="A80" s="13" t="s">
        <v>258</v>
      </c>
      <c r="B80" s="13"/>
      <c r="C80" s="4" t="s">
        <v>259</v>
      </c>
      <c r="D80" s="4"/>
      <c r="E80" s="4"/>
      <c r="F80" s="4"/>
      <c r="G80" s="4"/>
    </row>
    <row r="81" ht="15.75" customHeight="1" spans="1:7">
      <c r="A81" s="13" t="s">
        <v>260</v>
      </c>
      <c r="B81" s="13"/>
      <c r="C81" s="4" t="s">
        <v>261</v>
      </c>
      <c r="D81" s="4"/>
      <c r="E81" s="4"/>
      <c r="F81" s="4"/>
      <c r="G81" s="4"/>
    </row>
    <row r="82" ht="15.75" customHeight="1" spans="1:7">
      <c r="A82" s="13" t="s">
        <v>262</v>
      </c>
      <c r="B82" s="13"/>
      <c r="C82" s="4" t="s">
        <v>263</v>
      </c>
      <c r="D82" s="4"/>
      <c r="E82" s="4"/>
      <c r="F82" s="4"/>
      <c r="G82" s="4"/>
    </row>
    <row r="84" spans="1:7">
      <c r="A84" s="11" t="s">
        <v>264</v>
      </c>
    </row>
    <row r="85" spans="1:7">
      <c r="A85" s="2" t="s">
        <v>70</v>
      </c>
      <c r="B85" s="2" t="s">
        <v>71</v>
      </c>
      <c r="C85" s="2" t="s">
        <v>72</v>
      </c>
      <c r="D85" s="2" t="s">
        <v>73</v>
      </c>
      <c r="E85" s="2" t="s">
        <v>74</v>
      </c>
      <c r="F85" s="2" t="s">
        <v>75</v>
      </c>
      <c r="G85" s="2" t="s">
        <v>76</v>
      </c>
    </row>
    <row r="86" ht="29.25" customHeight="1" spans="1:7">
      <c r="A86" s="12" t="s">
        <v>265</v>
      </c>
      <c r="B86" s="13" t="s">
        <v>78</v>
      </c>
      <c r="C86" s="4" t="s">
        <v>79</v>
      </c>
      <c r="D86" s="4" t="s">
        <v>80</v>
      </c>
      <c r="E86" s="4" t="s">
        <v>81</v>
      </c>
      <c r="F86" s="4" t="s">
        <v>266</v>
      </c>
      <c r="G86" s="4" t="s">
        <v>267</v>
      </c>
    </row>
    <row r="87" ht="29.25" customHeight="1" spans="1:7">
      <c r="A87" s="12" t="s">
        <v>265</v>
      </c>
      <c r="B87" s="13" t="s">
        <v>84</v>
      </c>
      <c r="C87" s="4" t="s">
        <v>79</v>
      </c>
      <c r="D87" s="4" t="s">
        <v>80</v>
      </c>
      <c r="E87" s="4" t="s">
        <v>81</v>
      </c>
      <c r="F87" s="4" t="s">
        <v>268</v>
      </c>
      <c r="G87" s="4" t="s">
        <v>269</v>
      </c>
    </row>
    <row r="88" ht="16.5" customHeight="1" spans="1:7">
      <c r="A88" s="12" t="s">
        <v>265</v>
      </c>
      <c r="B88" s="13" t="s">
        <v>95</v>
      </c>
      <c r="C88" s="4" t="s">
        <v>79</v>
      </c>
      <c r="D88" s="4" t="s">
        <v>96</v>
      </c>
      <c r="E88" s="4" t="s">
        <v>97</v>
      </c>
      <c r="F88" s="4" t="s">
        <v>270</v>
      </c>
      <c r="G88" s="4" t="s">
        <v>271</v>
      </c>
    </row>
    <row r="89" ht="42" customHeight="1" spans="1:7">
      <c r="A89" s="12" t="s">
        <v>265</v>
      </c>
      <c r="B89" s="13" t="s">
        <v>87</v>
      </c>
      <c r="C89" s="4" t="s">
        <v>79</v>
      </c>
      <c r="D89" s="4" t="s">
        <v>87</v>
      </c>
      <c r="E89" s="4" t="s">
        <v>272</v>
      </c>
      <c r="F89" s="4" t="s">
        <v>273</v>
      </c>
      <c r="G89" s="4" t="s">
        <v>274</v>
      </c>
    </row>
    <row r="90" ht="16.5" customHeight="1" spans="1:7">
      <c r="A90" s="12" t="s">
        <v>265</v>
      </c>
      <c r="B90" s="13" t="s">
        <v>91</v>
      </c>
      <c r="C90" s="4" t="s">
        <v>79</v>
      </c>
      <c r="D90" s="4" t="s">
        <v>80</v>
      </c>
      <c r="E90" s="4" t="s">
        <v>92</v>
      </c>
      <c r="F90" s="4" t="s">
        <v>275</v>
      </c>
      <c r="G90" s="4" t="s">
        <v>276</v>
      </c>
    </row>
    <row r="91" ht="16.5" customHeight="1" spans="1:7">
      <c r="A91" s="12" t="s">
        <v>265</v>
      </c>
      <c r="B91" s="13" t="s">
        <v>234</v>
      </c>
      <c r="C91" s="4" t="s">
        <v>79</v>
      </c>
      <c r="D91" s="4" t="s">
        <v>80</v>
      </c>
      <c r="E91" s="4" t="s">
        <v>277</v>
      </c>
      <c r="F91" s="4" t="s">
        <v>278</v>
      </c>
      <c r="G91" s="4" t="s">
        <v>279</v>
      </c>
    </row>
    <row r="92" ht="29.25" customHeight="1" spans="1:7">
      <c r="A92" s="12" t="s">
        <v>265</v>
      </c>
      <c r="B92" s="13" t="s">
        <v>280</v>
      </c>
      <c r="C92" s="4" t="s">
        <v>79</v>
      </c>
      <c r="D92" s="4" t="s">
        <v>125</v>
      </c>
      <c r="E92" s="4" t="s">
        <v>281</v>
      </c>
      <c r="F92" s="4" t="s">
        <v>282</v>
      </c>
      <c r="G92" s="4" t="s">
        <v>282</v>
      </c>
    </row>
    <row r="93" ht="29.25" customHeight="1" spans="1:7">
      <c r="A93" s="12" t="s">
        <v>265</v>
      </c>
      <c r="B93" s="13" t="s">
        <v>283</v>
      </c>
      <c r="C93" s="4" t="s">
        <v>79</v>
      </c>
      <c r="D93" s="4" t="s">
        <v>215</v>
      </c>
      <c r="E93" s="4" t="s">
        <v>284</v>
      </c>
      <c r="F93" s="4" t="s">
        <v>285</v>
      </c>
      <c r="G93" s="4" t="s">
        <v>286</v>
      </c>
    </row>
    <row r="94" ht="16.5" customHeight="1" spans="1:7">
      <c r="A94" s="12" t="s">
        <v>265</v>
      </c>
      <c r="B94" s="13" t="s">
        <v>238</v>
      </c>
      <c r="C94" s="4" t="s">
        <v>79</v>
      </c>
      <c r="D94" s="4" t="s">
        <v>96</v>
      </c>
      <c r="E94" s="4" t="s">
        <v>239</v>
      </c>
      <c r="F94" s="4" t="s">
        <v>287</v>
      </c>
      <c r="G94" s="4" t="s">
        <v>288</v>
      </c>
    </row>
    <row r="95" ht="29.25" customHeight="1" spans="1:7">
      <c r="A95" s="12" t="s">
        <v>265</v>
      </c>
      <c r="B95" s="13" t="s">
        <v>242</v>
      </c>
      <c r="C95" s="4" t="s">
        <v>79</v>
      </c>
      <c r="D95" s="4" t="s">
        <v>125</v>
      </c>
      <c r="E95" s="4" t="s">
        <v>289</v>
      </c>
      <c r="F95" s="4" t="s">
        <v>290</v>
      </c>
      <c r="G95" s="4" t="s">
        <v>245</v>
      </c>
    </row>
    <row r="96" ht="16.5" customHeight="1" spans="1:7">
      <c r="A96" s="12" t="s">
        <v>265</v>
      </c>
      <c r="B96" s="13" t="s">
        <v>246</v>
      </c>
      <c r="C96" s="4" t="s">
        <v>79</v>
      </c>
      <c r="D96" s="4" t="s">
        <v>80</v>
      </c>
      <c r="E96" s="4" t="s">
        <v>291</v>
      </c>
      <c r="F96" s="4" t="s">
        <v>292</v>
      </c>
      <c r="G96" s="4" t="s">
        <v>293</v>
      </c>
    </row>
    <row r="97" ht="29.25" customHeight="1" spans="1:7">
      <c r="A97" s="12" t="s">
        <v>265</v>
      </c>
      <c r="B97" s="13" t="s">
        <v>294</v>
      </c>
      <c r="C97" s="4" t="s">
        <v>79</v>
      </c>
      <c r="D97" s="4" t="s">
        <v>295</v>
      </c>
      <c r="E97" s="4" t="s">
        <v>296</v>
      </c>
      <c r="F97" s="4" t="s">
        <v>297</v>
      </c>
      <c r="G97" s="4" t="s">
        <v>298</v>
      </c>
    </row>
    <row r="98" ht="42" customHeight="1" spans="1:7">
      <c r="A98" s="12" t="s">
        <v>265</v>
      </c>
      <c r="B98" s="13" t="s">
        <v>299</v>
      </c>
      <c r="C98" s="4" t="s">
        <v>79</v>
      </c>
      <c r="D98" s="4" t="s">
        <v>125</v>
      </c>
      <c r="E98" s="4" t="s">
        <v>300</v>
      </c>
      <c r="F98" s="4" t="s">
        <v>301</v>
      </c>
      <c r="G98" s="4" t="s">
        <v>302</v>
      </c>
    </row>
    <row r="99" ht="29.25" customHeight="1" spans="1:7">
      <c r="A99" s="12" t="s">
        <v>265</v>
      </c>
      <c r="B99" s="13" t="s">
        <v>303</v>
      </c>
      <c r="C99" s="4" t="s">
        <v>79</v>
      </c>
      <c r="D99" s="4" t="s">
        <v>162</v>
      </c>
      <c r="E99" s="4" t="s">
        <v>163</v>
      </c>
      <c r="F99" s="4" t="s">
        <v>304</v>
      </c>
      <c r="G99" s="4" t="s">
        <v>305</v>
      </c>
    </row>
    <row r="100" ht="29.25" customHeight="1" spans="1:7">
      <c r="A100" s="12" t="s">
        <v>265</v>
      </c>
      <c r="B100" s="13" t="s">
        <v>252</v>
      </c>
      <c r="C100" s="4" t="s">
        <v>79</v>
      </c>
      <c r="D100" s="4" t="s">
        <v>162</v>
      </c>
      <c r="E100" s="4" t="s">
        <v>163</v>
      </c>
      <c r="F100" s="4" t="s">
        <v>306</v>
      </c>
      <c r="G100" s="4" t="s">
        <v>253</v>
      </c>
    </row>
    <row r="101" ht="29.25" customHeight="1" spans="1:7">
      <c r="A101" s="12" t="s">
        <v>265</v>
      </c>
      <c r="B101" s="13" t="s">
        <v>307</v>
      </c>
      <c r="C101" s="4" t="s">
        <v>79</v>
      </c>
      <c r="D101" s="4" t="s">
        <v>162</v>
      </c>
      <c r="E101" s="4" t="s">
        <v>163</v>
      </c>
      <c r="F101" s="4" t="s">
        <v>308</v>
      </c>
      <c r="G101" s="4" t="s">
        <v>308</v>
      </c>
    </row>
    <row r="102" ht="29.25" customHeight="1" spans="1:7">
      <c r="A102" s="12" t="s">
        <v>265</v>
      </c>
      <c r="B102" s="13" t="s">
        <v>309</v>
      </c>
      <c r="C102" s="4" t="s">
        <v>79</v>
      </c>
      <c r="D102" s="4" t="s">
        <v>100</v>
      </c>
      <c r="E102" s="4" t="s">
        <v>101</v>
      </c>
      <c r="F102" s="4" t="s">
        <v>310</v>
      </c>
      <c r="G102" s="4" t="s">
        <v>311</v>
      </c>
    </row>
    <row r="104" spans="1:7">
      <c r="A104" s="11" t="s">
        <v>312</v>
      </c>
    </row>
    <row r="105" ht="30" customHeight="1" spans="1:7">
      <c r="A105" s="13" t="s">
        <v>313</v>
      </c>
      <c r="B105" s="14" t="s">
        <v>314</v>
      </c>
      <c r="C105" s="14"/>
      <c r="D105" s="14"/>
      <c r="E105" s="14"/>
      <c r="F105" s="14"/>
      <c r="G105" s="14"/>
    </row>
    <row r="106" ht="30" customHeight="1" spans="1:7">
      <c r="A106" s="13" t="s">
        <v>315</v>
      </c>
      <c r="B106" s="14" t="s">
        <v>316</v>
      </c>
      <c r="C106" s="14"/>
      <c r="D106" s="14"/>
      <c r="E106" s="14"/>
      <c r="F106" s="14"/>
      <c r="G106" s="14"/>
    </row>
  </sheetData>
  <mergeCells count="9">
    <mergeCell ref="A2:G2"/>
    <mergeCell ref="A80:B80"/>
    <mergeCell ref="C80:G80"/>
    <mergeCell ref="A81:B81"/>
    <mergeCell ref="C81:G81"/>
    <mergeCell ref="A82:B82"/>
    <mergeCell ref="C82:G82"/>
    <mergeCell ref="B105:G105"/>
    <mergeCell ref="B106:G106"/>
  </mergeCells>
  <pageMargins left="0.75" right="0.75" top="1" bottom="1" header="0.511811023622047" footer="0.511811023622047"/>
  <pageSetup paperSize="9" fitToHeight="0" orientation="landscape"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29"/>
  <sheetViews>
    <sheetView showGridLines="0" workbookViewId="0">
      <pane ySplit="4" topLeftCell="A5" activePane="bottomLeft" state="frozen"/>
      <selection/>
      <selection pane="bottomLeft" activeCell="A1" sqref="A1"/>
    </sheetView>
  </sheetViews>
  <sheetFormatPr defaultColWidth="8.69090909090909" defaultRowHeight="14.5" outlineLevelCol="4"/>
  <cols>
    <col min="1" max="1" width="28" style="1" customWidth="1"/>
    <col min="2" max="2" width="10" style="1" customWidth="1"/>
    <col min="3" max="3" width="26" style="1" customWidth="1"/>
    <col min="4" max="4" width="58" style="1" customWidth="1"/>
    <col min="5" max="5" width="16" style="1" customWidth="1"/>
  </cols>
  <sheetData>
    <row r="1" ht="17.25" customHeight="1" spans="1:5">
      <c r="A1" s="8" t="s">
        <v>317</v>
      </c>
    </row>
    <row r="2" ht="30" customHeight="1" spans="1:5">
      <c r="A2" s="9" t="s">
        <v>318</v>
      </c>
      <c r="B2" s="9"/>
      <c r="C2" s="9"/>
      <c r="D2" s="9"/>
      <c r="E2" s="9"/>
    </row>
    <row r="4" ht="15" customHeight="1" spans="1:5">
      <c r="A4" s="2" t="s">
        <v>319</v>
      </c>
      <c r="B4" s="2" t="s">
        <v>320</v>
      </c>
      <c r="C4" s="2" t="s">
        <v>321</v>
      </c>
      <c r="D4" s="2" t="s">
        <v>322</v>
      </c>
      <c r="E4" s="2" t="s">
        <v>323</v>
      </c>
    </row>
    <row r="5" ht="15" customHeight="1" spans="1:5">
      <c r="A5" s="10" t="s">
        <v>324</v>
      </c>
      <c r="B5" s="5" t="s">
        <v>325</v>
      </c>
      <c r="C5" s="4" t="s">
        <v>326</v>
      </c>
      <c r="D5" s="4" t="s">
        <v>327</v>
      </c>
      <c r="E5" s="5" t="s">
        <v>328</v>
      </c>
    </row>
    <row r="6" ht="15" customHeight="1" spans="1:5">
      <c r="A6" s="10" t="s">
        <v>329</v>
      </c>
      <c r="B6" s="5" t="s">
        <v>330</v>
      </c>
      <c r="C6" s="4" t="s">
        <v>331</v>
      </c>
      <c r="D6" s="4" t="s">
        <v>332</v>
      </c>
      <c r="E6" s="5" t="s">
        <v>328</v>
      </c>
    </row>
    <row r="7" ht="15" customHeight="1" spans="1:5">
      <c r="A7" s="10" t="s">
        <v>333</v>
      </c>
      <c r="B7" s="5" t="s">
        <v>334</v>
      </c>
      <c r="C7" s="4" t="s">
        <v>335</v>
      </c>
      <c r="D7" s="4" t="s">
        <v>336</v>
      </c>
      <c r="E7" s="5" t="s">
        <v>328</v>
      </c>
    </row>
    <row r="8" ht="15" customHeight="1" spans="1:5">
      <c r="A8" s="10" t="s">
        <v>337</v>
      </c>
      <c r="B8" s="5" t="s">
        <v>334</v>
      </c>
      <c r="C8" s="4" t="s">
        <v>338</v>
      </c>
      <c r="D8" s="4" t="s">
        <v>339</v>
      </c>
      <c r="E8" s="5" t="s">
        <v>328</v>
      </c>
    </row>
    <row r="9" ht="15" customHeight="1" spans="1:5">
      <c r="A9" s="10" t="s">
        <v>340</v>
      </c>
      <c r="B9" s="5" t="s">
        <v>334</v>
      </c>
      <c r="C9" s="4" t="s">
        <v>338</v>
      </c>
      <c r="D9" s="4" t="s">
        <v>341</v>
      </c>
      <c r="E9" s="5" t="s">
        <v>328</v>
      </c>
    </row>
    <row r="10" ht="15" customHeight="1" spans="1:5">
      <c r="A10" s="10" t="s">
        <v>342</v>
      </c>
      <c r="B10" s="5" t="s">
        <v>334</v>
      </c>
      <c r="C10" s="4" t="s">
        <v>343</v>
      </c>
      <c r="D10" s="4" t="s">
        <v>344</v>
      </c>
      <c r="E10" s="5" t="s">
        <v>328</v>
      </c>
    </row>
    <row r="11" ht="15" customHeight="1" spans="1:5">
      <c r="A11" s="10" t="s">
        <v>345</v>
      </c>
      <c r="B11" s="5" t="s">
        <v>334</v>
      </c>
      <c r="C11" s="4" t="s">
        <v>346</v>
      </c>
      <c r="D11" s="4" t="s">
        <v>347</v>
      </c>
      <c r="E11" s="5" t="s">
        <v>328</v>
      </c>
    </row>
    <row r="12" ht="15" customHeight="1" spans="1:5">
      <c r="A12" s="10" t="s">
        <v>348</v>
      </c>
      <c r="B12" s="5" t="s">
        <v>334</v>
      </c>
      <c r="C12" s="4" t="s">
        <v>326</v>
      </c>
      <c r="D12" s="4" t="s">
        <v>349</v>
      </c>
      <c r="E12" s="5" t="s">
        <v>328</v>
      </c>
    </row>
    <row r="13" ht="15" customHeight="1" spans="1:5">
      <c r="A13" s="10" t="s">
        <v>350</v>
      </c>
      <c r="B13" s="5" t="s">
        <v>325</v>
      </c>
      <c r="C13" s="4" t="s">
        <v>351</v>
      </c>
      <c r="D13" s="4" t="s">
        <v>352</v>
      </c>
      <c r="E13" s="5" t="s">
        <v>328</v>
      </c>
    </row>
    <row r="14" ht="15" customHeight="1" spans="1:5">
      <c r="A14" s="10" t="s">
        <v>353</v>
      </c>
      <c r="B14" s="5" t="s">
        <v>330</v>
      </c>
      <c r="C14" s="4" t="s">
        <v>354</v>
      </c>
      <c r="D14" s="4" t="s">
        <v>355</v>
      </c>
      <c r="E14" s="5" t="s">
        <v>328</v>
      </c>
    </row>
    <row r="15" ht="15" customHeight="1" spans="1:5">
      <c r="A15" s="10" t="s">
        <v>356</v>
      </c>
      <c r="B15" s="5" t="s">
        <v>334</v>
      </c>
      <c r="C15" s="4" t="s">
        <v>357</v>
      </c>
      <c r="D15" s="4" t="s">
        <v>358</v>
      </c>
      <c r="E15" s="5" t="s">
        <v>328</v>
      </c>
    </row>
    <row r="16" ht="15" customHeight="1" spans="1:5">
      <c r="A16" s="10" t="s">
        <v>359</v>
      </c>
      <c r="B16" s="5" t="s">
        <v>334</v>
      </c>
      <c r="C16" s="4" t="s">
        <v>360</v>
      </c>
      <c r="D16" s="4" t="s">
        <v>361</v>
      </c>
      <c r="E16" s="5" t="s">
        <v>328</v>
      </c>
    </row>
    <row r="17" ht="15" customHeight="1" spans="1:5">
      <c r="A17" s="10" t="s">
        <v>362</v>
      </c>
      <c r="B17" s="5" t="s">
        <v>325</v>
      </c>
      <c r="C17" s="4" t="s">
        <v>363</v>
      </c>
      <c r="D17" s="4" t="s">
        <v>364</v>
      </c>
      <c r="E17" s="5" t="s">
        <v>328</v>
      </c>
    </row>
    <row r="18" ht="15" customHeight="1" spans="1:5">
      <c r="A18" s="10" t="s">
        <v>365</v>
      </c>
      <c r="B18" s="5" t="s">
        <v>325</v>
      </c>
      <c r="C18" s="4" t="s">
        <v>366</v>
      </c>
      <c r="D18" s="4" t="s">
        <v>367</v>
      </c>
      <c r="E18" s="5" t="s">
        <v>328</v>
      </c>
    </row>
    <row r="19" ht="15" customHeight="1" spans="1:5">
      <c r="A19" s="10" t="s">
        <v>368</v>
      </c>
      <c r="B19" s="5" t="s">
        <v>325</v>
      </c>
      <c r="C19" s="4" t="s">
        <v>369</v>
      </c>
      <c r="D19" s="4" t="s">
        <v>370</v>
      </c>
      <c r="E19" s="5" t="s">
        <v>371</v>
      </c>
    </row>
    <row r="20" ht="15" customHeight="1" spans="1:5">
      <c r="A20" s="10" t="s">
        <v>372</v>
      </c>
      <c r="B20" s="5" t="s">
        <v>373</v>
      </c>
      <c r="C20" s="4" t="s">
        <v>374</v>
      </c>
      <c r="D20" s="4" t="s">
        <v>375</v>
      </c>
      <c r="E20" s="5" t="s">
        <v>371</v>
      </c>
    </row>
    <row r="21" ht="15" customHeight="1" spans="1:5">
      <c r="A21" s="10" t="s">
        <v>376</v>
      </c>
      <c r="B21" s="5" t="s">
        <v>377</v>
      </c>
      <c r="C21" s="4" t="s">
        <v>378</v>
      </c>
      <c r="D21" s="4" t="s">
        <v>379</v>
      </c>
      <c r="E21" s="5" t="s">
        <v>371</v>
      </c>
    </row>
    <row r="22" ht="15" customHeight="1" spans="1:5">
      <c r="A22" s="10" t="s">
        <v>380</v>
      </c>
      <c r="B22" s="5" t="s">
        <v>381</v>
      </c>
      <c r="C22" s="4" t="s">
        <v>382</v>
      </c>
      <c r="D22" s="4" t="s">
        <v>383</v>
      </c>
      <c r="E22" s="5" t="s">
        <v>371</v>
      </c>
    </row>
    <row r="23" ht="15" customHeight="1" spans="1:5">
      <c r="A23" s="10" t="s">
        <v>384</v>
      </c>
      <c r="B23" s="5" t="s">
        <v>325</v>
      </c>
      <c r="C23" s="4" t="s">
        <v>385</v>
      </c>
      <c r="D23" s="4" t="s">
        <v>386</v>
      </c>
      <c r="E23" s="5" t="s">
        <v>328</v>
      </c>
    </row>
    <row r="24" ht="15" customHeight="1" spans="1:5">
      <c r="A24" s="10" t="s">
        <v>387</v>
      </c>
      <c r="B24" s="5" t="s">
        <v>330</v>
      </c>
      <c r="C24" s="4" t="s">
        <v>382</v>
      </c>
      <c r="D24" s="4" t="s">
        <v>388</v>
      </c>
      <c r="E24" s="5" t="s">
        <v>328</v>
      </c>
    </row>
    <row r="25" ht="15" customHeight="1" spans="1:5">
      <c r="A25" s="10" t="s">
        <v>389</v>
      </c>
      <c r="B25" s="5" t="s">
        <v>334</v>
      </c>
      <c r="C25" s="4" t="s">
        <v>390</v>
      </c>
      <c r="D25" s="4" t="s">
        <v>391</v>
      </c>
      <c r="E25" s="5" t="s">
        <v>328</v>
      </c>
    </row>
    <row r="26" ht="15" customHeight="1" spans="1:5">
      <c r="A26" s="10" t="s">
        <v>392</v>
      </c>
      <c r="B26" s="5" t="s">
        <v>334</v>
      </c>
      <c r="C26" s="4" t="s">
        <v>393</v>
      </c>
      <c r="D26" s="4" t="s">
        <v>394</v>
      </c>
      <c r="E26" s="5" t="s">
        <v>328</v>
      </c>
    </row>
    <row r="27" ht="15" customHeight="1" spans="1:5">
      <c r="A27" s="10" t="s">
        <v>395</v>
      </c>
      <c r="B27" s="5" t="s">
        <v>325</v>
      </c>
      <c r="C27" s="4" t="s">
        <v>346</v>
      </c>
      <c r="D27" s="4" t="s">
        <v>396</v>
      </c>
      <c r="E27" s="5" t="s">
        <v>328</v>
      </c>
    </row>
    <row r="28" ht="15" customHeight="1" spans="1:5">
      <c r="A28" s="10" t="s">
        <v>397</v>
      </c>
      <c r="B28" s="5" t="s">
        <v>398</v>
      </c>
      <c r="C28" s="4" t="s">
        <v>399</v>
      </c>
      <c r="D28" s="4" t="s">
        <v>400</v>
      </c>
      <c r="E28" s="5" t="s">
        <v>401</v>
      </c>
    </row>
    <row r="29" ht="15" customHeight="1" spans="1:5">
      <c r="A29" s="10" t="s">
        <v>402</v>
      </c>
      <c r="B29" s="5" t="s">
        <v>330</v>
      </c>
      <c r="C29" s="4" t="s">
        <v>403</v>
      </c>
      <c r="D29" s="4" t="s">
        <v>404</v>
      </c>
      <c r="E29" s="5" t="s">
        <v>328</v>
      </c>
    </row>
  </sheetData>
  <mergeCells count="1">
    <mergeCell ref="A2:E2"/>
  </mergeCells>
  <pageMargins left="0.75" right="0.75" top="1" bottom="1" header="0.511811023622047" footer="0.511811023622047"/>
  <pageSetup paperSize="9" fitToHeight="0"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34"/>
  <sheetViews>
    <sheetView workbookViewId="0">
      <pane ySplit="4" topLeftCell="A5" activePane="bottomLeft" state="frozen"/>
      <selection/>
      <selection pane="bottomLeft" activeCell="A1" sqref="A1"/>
    </sheetView>
  </sheetViews>
  <sheetFormatPr defaultColWidth="8.69090909090909" defaultRowHeight="14.5" outlineLevelCol="3"/>
  <cols>
    <col min="1" max="1" width="8" style="1" customWidth="1"/>
    <col min="2" max="2" width="28" style="1" customWidth="1"/>
    <col min="3" max="3" width="95" style="1" customWidth="1"/>
    <col min="4" max="4" width="38" style="1" customWidth="1"/>
  </cols>
  <sheetData>
    <row r="1" ht="17.25" customHeight="1" spans="1:4">
      <c r="A1" s="8" t="s">
        <v>405</v>
      </c>
    </row>
    <row r="2" ht="30" customHeight="1" spans="1:4">
      <c r="A2" s="9" t="s">
        <v>406</v>
      </c>
      <c r="B2" s="9"/>
      <c r="C2" s="9"/>
      <c r="D2" s="9"/>
    </row>
    <row r="4" ht="15" customHeight="1" spans="1:4">
      <c r="A4" s="2" t="s">
        <v>407</v>
      </c>
      <c r="B4" s="2" t="s">
        <v>408</v>
      </c>
      <c r="C4" s="2" t="s">
        <v>409</v>
      </c>
      <c r="D4" s="2" t="s">
        <v>410</v>
      </c>
    </row>
    <row r="5" ht="23.25" customHeight="1" spans="1:4">
      <c r="A5" s="3" t="s">
        <v>411</v>
      </c>
      <c r="B5" s="10" t="s">
        <v>412</v>
      </c>
      <c r="C5" s="4" t="s">
        <v>413</v>
      </c>
      <c r="D5" s="6" t="s">
        <v>414</v>
      </c>
    </row>
    <row r="6" ht="15" customHeight="1" spans="1:4">
      <c r="A6" s="3" t="s">
        <v>415</v>
      </c>
      <c r="B6" s="10" t="s">
        <v>416</v>
      </c>
      <c r="C6" s="4" t="s">
        <v>417</v>
      </c>
      <c r="D6" s="6" t="s">
        <v>418</v>
      </c>
    </row>
    <row r="7" ht="23.25" customHeight="1" spans="1:4">
      <c r="A7" s="3" t="s">
        <v>419</v>
      </c>
      <c r="B7" s="10" t="s">
        <v>420</v>
      </c>
      <c r="C7" s="4" t="s">
        <v>421</v>
      </c>
      <c r="D7" s="6" t="s">
        <v>422</v>
      </c>
    </row>
    <row r="8" ht="23.25" customHeight="1" spans="1:4">
      <c r="A8" s="3" t="s">
        <v>423</v>
      </c>
      <c r="B8" s="10" t="s">
        <v>424</v>
      </c>
      <c r="C8" s="4" t="s">
        <v>425</v>
      </c>
      <c r="D8" s="6" t="s">
        <v>426</v>
      </c>
    </row>
    <row r="9" ht="23.25" customHeight="1" spans="1:4">
      <c r="A9" s="3" t="s">
        <v>427</v>
      </c>
      <c r="B9" s="10" t="s">
        <v>428</v>
      </c>
      <c r="C9" s="4" t="s">
        <v>429</v>
      </c>
      <c r="D9" s="6" t="s">
        <v>430</v>
      </c>
    </row>
    <row r="10" ht="15" customHeight="1" spans="1:4">
      <c r="A10" s="3" t="s">
        <v>431</v>
      </c>
      <c r="B10" s="10" t="s">
        <v>432</v>
      </c>
      <c r="C10" s="4" t="s">
        <v>433</v>
      </c>
      <c r="D10" s="6" t="s">
        <v>434</v>
      </c>
    </row>
    <row r="11" ht="23.25" customHeight="1" spans="1:4">
      <c r="A11" s="3" t="s">
        <v>435</v>
      </c>
      <c r="B11" s="10" t="s">
        <v>436</v>
      </c>
      <c r="C11" s="4" t="s">
        <v>437</v>
      </c>
      <c r="D11" s="6"/>
    </row>
    <row r="12" ht="15" customHeight="1" spans="1:4">
      <c r="A12" s="3" t="s">
        <v>438</v>
      </c>
      <c r="B12" s="10" t="s">
        <v>439</v>
      </c>
      <c r="C12" s="4" t="s">
        <v>440</v>
      </c>
      <c r="D12" s="6"/>
    </row>
    <row r="13" ht="23.25" customHeight="1" spans="1:4">
      <c r="A13" s="3" t="s">
        <v>441</v>
      </c>
      <c r="B13" s="10" t="s">
        <v>442</v>
      </c>
      <c r="C13" s="4" t="s">
        <v>443</v>
      </c>
      <c r="D13" s="6"/>
    </row>
    <row r="14" ht="15" customHeight="1" spans="1:4">
      <c r="A14" s="3" t="s">
        <v>444</v>
      </c>
      <c r="B14" s="10" t="s">
        <v>445</v>
      </c>
      <c r="C14" s="4" t="s">
        <v>446</v>
      </c>
      <c r="D14" s="6" t="s">
        <v>447</v>
      </c>
    </row>
    <row r="15" ht="23.25" customHeight="1" spans="1:4">
      <c r="A15" s="3" t="s">
        <v>448</v>
      </c>
      <c r="B15" s="10" t="s">
        <v>449</v>
      </c>
      <c r="C15" s="4" t="s">
        <v>450</v>
      </c>
      <c r="D15" s="6"/>
    </row>
    <row r="16" ht="23.25" customHeight="1" spans="1:4">
      <c r="A16" s="3" t="s">
        <v>451</v>
      </c>
      <c r="B16" s="10" t="s">
        <v>452</v>
      </c>
      <c r="C16" s="4" t="s">
        <v>453</v>
      </c>
      <c r="D16" s="6"/>
    </row>
    <row r="17" ht="34.5" customHeight="1" spans="1:4">
      <c r="A17" s="3" t="s">
        <v>454</v>
      </c>
      <c r="B17" s="10" t="s">
        <v>455</v>
      </c>
      <c r="C17" s="4" t="s">
        <v>456</v>
      </c>
      <c r="D17" s="6" t="s">
        <v>457</v>
      </c>
    </row>
    <row r="18" ht="23.25" customHeight="1" spans="1:4">
      <c r="A18" s="3" t="s">
        <v>458</v>
      </c>
      <c r="B18" s="10" t="s">
        <v>459</v>
      </c>
      <c r="C18" s="4" t="s">
        <v>460</v>
      </c>
      <c r="D18" s="6" t="s">
        <v>461</v>
      </c>
    </row>
    <row r="19" ht="15" customHeight="1" spans="1:4">
      <c r="A19" s="3" t="s">
        <v>462</v>
      </c>
      <c r="B19" s="10" t="s">
        <v>463</v>
      </c>
      <c r="C19" s="4" t="s">
        <v>464</v>
      </c>
      <c r="D19" s="6" t="s">
        <v>465</v>
      </c>
    </row>
    <row r="20" ht="15" customHeight="1" spans="1:4">
      <c r="A20" s="3" t="s">
        <v>466</v>
      </c>
      <c r="B20" s="10" t="s">
        <v>467</v>
      </c>
      <c r="C20" s="4" t="s">
        <v>468</v>
      </c>
      <c r="D20" s="6" t="s">
        <v>469</v>
      </c>
    </row>
    <row r="21" ht="80.25" customHeight="1" spans="1:4">
      <c r="A21" s="3" t="s">
        <v>470</v>
      </c>
      <c r="B21" s="10" t="s">
        <v>471</v>
      </c>
      <c r="C21" s="4" t="s">
        <v>472</v>
      </c>
      <c r="D21" s="6" t="s">
        <v>473</v>
      </c>
    </row>
    <row r="22" ht="80.25" customHeight="1" spans="1:4">
      <c r="A22" s="3" t="s">
        <v>474</v>
      </c>
      <c r="B22" s="10" t="s">
        <v>475</v>
      </c>
      <c r="C22" s="4" t="s">
        <v>476</v>
      </c>
      <c r="D22" s="6" t="s">
        <v>477</v>
      </c>
    </row>
    <row r="23" ht="42" customHeight="1" spans="1:4">
      <c r="A23" s="3" t="s">
        <v>478</v>
      </c>
      <c r="B23" s="10" t="s">
        <v>479</v>
      </c>
      <c r="C23" s="4" t="s">
        <v>480</v>
      </c>
      <c r="D23" s="6" t="s">
        <v>481</v>
      </c>
    </row>
    <row r="24" ht="42" customHeight="1" spans="1:4">
      <c r="A24" s="3" t="s">
        <v>482</v>
      </c>
      <c r="B24" s="10" t="s">
        <v>483</v>
      </c>
      <c r="C24" s="4" t="s">
        <v>484</v>
      </c>
      <c r="D24" s="6" t="s">
        <v>485</v>
      </c>
    </row>
    <row r="25" ht="42" customHeight="1" spans="1:4">
      <c r="A25" s="3" t="s">
        <v>486</v>
      </c>
      <c r="B25" s="10" t="s">
        <v>487</v>
      </c>
      <c r="C25" s="4" t="s">
        <v>488</v>
      </c>
      <c r="D25" s="6"/>
    </row>
    <row r="26" ht="42" customHeight="1" spans="1:4">
      <c r="A26" s="3" t="s">
        <v>489</v>
      </c>
      <c r="B26" s="10" t="s">
        <v>490</v>
      </c>
      <c r="C26" s="4" t="s">
        <v>491</v>
      </c>
      <c r="D26" s="6" t="s">
        <v>492</v>
      </c>
    </row>
    <row r="27" ht="54.75" customHeight="1" spans="1:4">
      <c r="A27" s="3" t="s">
        <v>493</v>
      </c>
      <c r="B27" s="10" t="s">
        <v>494</v>
      </c>
      <c r="C27" s="4" t="s">
        <v>495</v>
      </c>
      <c r="D27" s="6" t="s">
        <v>496</v>
      </c>
    </row>
    <row r="28" ht="42" customHeight="1" spans="1:4">
      <c r="A28" s="3" t="s">
        <v>497</v>
      </c>
      <c r="B28" s="10" t="s">
        <v>498</v>
      </c>
      <c r="C28" s="4" t="s">
        <v>499</v>
      </c>
      <c r="D28" s="6" t="s">
        <v>500</v>
      </c>
    </row>
    <row r="29" ht="42" customHeight="1" spans="1:4">
      <c r="A29" s="3" t="s">
        <v>501</v>
      </c>
      <c r="B29" s="10" t="s">
        <v>502</v>
      </c>
      <c r="C29" s="4" t="s">
        <v>503</v>
      </c>
      <c r="D29" s="6" t="s">
        <v>504</v>
      </c>
    </row>
    <row r="30" ht="29.25" customHeight="1" spans="1:4">
      <c r="A30" s="3" t="s">
        <v>505</v>
      </c>
      <c r="B30" s="10" t="s">
        <v>506</v>
      </c>
      <c r="C30" s="4" t="s">
        <v>507</v>
      </c>
      <c r="D30" s="6" t="s">
        <v>508</v>
      </c>
    </row>
    <row r="31" ht="42" customHeight="1" spans="1:4">
      <c r="A31" s="3" t="s">
        <v>509</v>
      </c>
      <c r="B31" s="10" t="s">
        <v>510</v>
      </c>
      <c r="C31" s="4" t="s">
        <v>511</v>
      </c>
      <c r="D31" s="6" t="s">
        <v>512</v>
      </c>
    </row>
    <row r="32" ht="42" customHeight="1" spans="1:4">
      <c r="A32" s="3" t="s">
        <v>513</v>
      </c>
      <c r="B32" s="10" t="s">
        <v>514</v>
      </c>
      <c r="C32" s="4" t="s">
        <v>515</v>
      </c>
      <c r="D32" s="6"/>
    </row>
    <row r="33" ht="80.25" customHeight="1" spans="1:4">
      <c r="A33" s="3" t="s">
        <v>516</v>
      </c>
      <c r="B33" s="10" t="s">
        <v>517</v>
      </c>
      <c r="C33" s="4" t="s">
        <v>518</v>
      </c>
      <c r="D33" s="6" t="s">
        <v>519</v>
      </c>
    </row>
    <row r="34" ht="42" customHeight="1" spans="1:4">
      <c r="A34" s="3" t="s">
        <v>520</v>
      </c>
      <c r="B34" s="10" t="s">
        <v>521</v>
      </c>
      <c r="C34" s="4" t="s">
        <v>522</v>
      </c>
      <c r="D34" s="6" t="s">
        <v>523</v>
      </c>
    </row>
  </sheetData>
  <mergeCells count="1">
    <mergeCell ref="A2:D2"/>
  </mergeCells>
  <pageMargins left="0.75" right="0.75" top="1" bottom="1" header="0.511811023622047" footer="0.511811023622047"/>
  <pageSetup paperSize="9" fitToHeight="0" orientation="landscape" horizontalDpi="300" verticalDpi="300"/>
  <headerFooter>
    <oddHeader>&amp;C
    </oddHeader>
    <oddFooter>&amp;C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48"/>
  <sheetViews>
    <sheetView tabSelected="1" zoomScale="83" zoomScaleNormal="83" workbookViewId="0">
      <pane xSplit="3" ySplit="1" topLeftCell="H2" activePane="bottomRight" state="frozen"/>
      <selection/>
      <selection pane="topRight"/>
      <selection pane="bottomLeft"/>
      <selection pane="bottomRight" activeCell="M3" sqref="M3"/>
    </sheetView>
  </sheetViews>
  <sheetFormatPr defaultColWidth="8.69090909090909" defaultRowHeight="14.5"/>
  <cols>
    <col min="1" max="1" width="12" style="1" customWidth="1"/>
    <col min="2" max="2" width="18" style="1" customWidth="1"/>
    <col min="3" max="3" width="28" style="1" customWidth="1"/>
    <col min="4" max="4" width="16" style="1" customWidth="1"/>
    <col min="5" max="5" width="9" style="1" customWidth="1"/>
    <col min="6" max="6" width="30" style="1" customWidth="1"/>
    <col min="7" max="7" width="40" style="1" customWidth="1"/>
    <col min="8" max="8" width="34" style="1" customWidth="1"/>
    <col min="9" max="9" width="44" style="1" customWidth="1"/>
    <col min="10" max="10" width="11" style="1" customWidth="1"/>
    <col min="11" max="11" width="30" style="1" customWidth="1"/>
    <col min="12" max="12" width="10" style="1" customWidth="1"/>
    <col min="13" max="13" width="24" style="1" customWidth="1"/>
  </cols>
  <sheetData>
    <row r="1" ht="27.75" customHeight="1" spans="1:13">
      <c r="A1" s="2" t="s">
        <v>36</v>
      </c>
      <c r="B1" s="2" t="s">
        <v>524</v>
      </c>
      <c r="C1" s="2" t="s">
        <v>37</v>
      </c>
      <c r="D1" s="2" t="s">
        <v>525</v>
      </c>
      <c r="E1" s="2" t="s">
        <v>526</v>
      </c>
      <c r="F1" s="2" t="s">
        <v>527</v>
      </c>
      <c r="G1" s="2" t="s">
        <v>528</v>
      </c>
      <c r="H1" s="2" t="s">
        <v>529</v>
      </c>
      <c r="I1" s="2" t="s">
        <v>38</v>
      </c>
      <c r="J1" s="2" t="s">
        <v>530</v>
      </c>
      <c r="K1" s="2" t="s">
        <v>39</v>
      </c>
      <c r="L1" s="2" t="s">
        <v>40</v>
      </c>
      <c r="M1" s="2" t="s">
        <v>41</v>
      </c>
    </row>
    <row r="2" ht="169.5" customHeight="1" spans="1:13">
      <c r="A2" s="3" t="s">
        <v>531</v>
      </c>
      <c r="B2" s="4" t="s">
        <v>532</v>
      </c>
      <c r="C2" s="4" t="s">
        <v>533</v>
      </c>
      <c r="D2" s="4" t="s">
        <v>56</v>
      </c>
      <c r="E2" s="5" t="s">
        <v>534</v>
      </c>
      <c r="F2" s="4" t="s">
        <v>535</v>
      </c>
      <c r="G2" s="4" t="s">
        <v>536</v>
      </c>
      <c r="H2" s="4" t="s">
        <v>537</v>
      </c>
      <c r="I2" s="4" t="s">
        <v>538</v>
      </c>
      <c r="J2" s="5" t="s">
        <v>539</v>
      </c>
      <c r="K2" s="6" t="s">
        <v>540</v>
      </c>
      <c r="L2" s="7" t="s">
        <v>16</v>
      </c>
      <c r="M2" s="6"/>
    </row>
    <row r="3" ht="54.75" customHeight="1" spans="1:13">
      <c r="A3" s="3" t="s">
        <v>541</v>
      </c>
      <c r="B3" s="4" t="s">
        <v>542</v>
      </c>
      <c r="C3" s="4" t="s">
        <v>543</v>
      </c>
      <c r="D3" s="4" t="s">
        <v>48</v>
      </c>
      <c r="E3" s="5" t="s">
        <v>534</v>
      </c>
      <c r="F3" s="4" t="s">
        <v>544</v>
      </c>
      <c r="G3" s="4" t="s">
        <v>545</v>
      </c>
      <c r="H3" s="4" t="s">
        <v>546</v>
      </c>
      <c r="I3" s="4" t="s">
        <v>547</v>
      </c>
      <c r="J3" s="5" t="s">
        <v>411</v>
      </c>
      <c r="K3" s="6" t="s">
        <v>548</v>
      </c>
      <c r="L3" s="7" t="s">
        <v>16</v>
      </c>
      <c r="M3" s="6" t="s">
        <v>549</v>
      </c>
    </row>
    <row r="4" ht="156.75" customHeight="1" spans="1:13">
      <c r="A4" s="3" t="s">
        <v>550</v>
      </c>
      <c r="B4" s="4" t="s">
        <v>542</v>
      </c>
      <c r="C4" s="4" t="s">
        <v>551</v>
      </c>
      <c r="D4" s="4" t="s">
        <v>48</v>
      </c>
      <c r="E4" s="5" t="s">
        <v>534</v>
      </c>
      <c r="F4" s="4" t="s">
        <v>544</v>
      </c>
      <c r="G4" s="4" t="s">
        <v>552</v>
      </c>
      <c r="H4" s="4" t="s">
        <v>553</v>
      </c>
      <c r="I4" s="4" t="s">
        <v>554</v>
      </c>
      <c r="J4" s="5" t="s">
        <v>411</v>
      </c>
      <c r="K4" s="6" t="s">
        <v>555</v>
      </c>
      <c r="L4" s="7" t="s">
        <v>16</v>
      </c>
      <c r="M4" s="6" t="s">
        <v>556</v>
      </c>
    </row>
    <row r="5" ht="54.75" customHeight="1" spans="1:13">
      <c r="A5" s="3" t="s">
        <v>557</v>
      </c>
      <c r="B5" s="4" t="s">
        <v>558</v>
      </c>
      <c r="C5" s="4" t="s">
        <v>559</v>
      </c>
      <c r="D5" s="4" t="s">
        <v>48</v>
      </c>
      <c r="E5" s="5" t="s">
        <v>560</v>
      </c>
      <c r="F5" s="4" t="s">
        <v>544</v>
      </c>
      <c r="G5" s="4" t="s">
        <v>561</v>
      </c>
      <c r="H5" s="4" t="s">
        <v>562</v>
      </c>
      <c r="I5" s="4" t="s">
        <v>563</v>
      </c>
      <c r="J5" s="5" t="s">
        <v>415</v>
      </c>
      <c r="K5" s="6" t="s">
        <v>564</v>
      </c>
      <c r="L5" s="7" t="s">
        <v>16</v>
      </c>
      <c r="M5" s="6" t="s">
        <v>565</v>
      </c>
    </row>
    <row r="6" ht="93" customHeight="1" spans="1:13">
      <c r="A6" s="3" t="s">
        <v>566</v>
      </c>
      <c r="B6" s="4" t="s">
        <v>558</v>
      </c>
      <c r="C6" s="4" t="s">
        <v>567</v>
      </c>
      <c r="D6" s="4" t="s">
        <v>50</v>
      </c>
      <c r="E6" s="5" t="s">
        <v>560</v>
      </c>
      <c r="F6" s="4" t="s">
        <v>535</v>
      </c>
      <c r="G6" s="4" t="s">
        <v>568</v>
      </c>
      <c r="H6" s="4" t="s">
        <v>569</v>
      </c>
      <c r="I6" s="4" t="s">
        <v>570</v>
      </c>
      <c r="J6" s="5" t="s">
        <v>415</v>
      </c>
      <c r="K6" s="6" t="s">
        <v>571</v>
      </c>
      <c r="L6" s="7" t="s">
        <v>17</v>
      </c>
      <c r="M6" s="6" t="s">
        <v>572</v>
      </c>
    </row>
    <row r="7" ht="93" customHeight="1" spans="1:13">
      <c r="A7" s="3" t="s">
        <v>573</v>
      </c>
      <c r="B7" s="4" t="s">
        <v>95</v>
      </c>
      <c r="C7" s="4" t="s">
        <v>574</v>
      </c>
      <c r="D7" s="4" t="s">
        <v>50</v>
      </c>
      <c r="E7" s="5" t="s">
        <v>534</v>
      </c>
      <c r="F7" s="4" t="s">
        <v>535</v>
      </c>
      <c r="G7" s="4" t="s">
        <v>575</v>
      </c>
      <c r="H7" s="4" t="str">
        <f ca="1">"Born "&amp;TEXT(EDATE(TODAY(),-216)+1,"mm/dd/yyyy")&amp;" (17 years old, reject)"&amp;CHAR(10)&amp;"Born "&amp;TEXT(EDATE(TODAY(),-216),"mm/dd/yyyy")&amp;" (turns 18 today, accept)"&amp;CHAR(10)&amp;"Born "&amp;TEXT(EDATE(TODAY(),-216)-1,"mm/dd/yyyy")&amp;" (18 years and 1 day, accept)"</f>
        <v>Born 10/25/2008 (17 years old, reject)
Born 10/24/2008 (turns 18 today, accept)
Born 10/23/2008 (18 years and 1 day, accept)</v>
      </c>
      <c r="I7" s="4" t="s">
        <v>576</v>
      </c>
      <c r="J7" s="5" t="s">
        <v>431</v>
      </c>
      <c r="K7" s="6" t="s">
        <v>577</v>
      </c>
      <c r="L7" s="7" t="s">
        <v>16</v>
      </c>
      <c r="M7" s="6" t="s">
        <v>578</v>
      </c>
    </row>
    <row r="8" ht="67.5" customHeight="1" spans="1:13">
      <c r="A8" s="3" t="s">
        <v>579</v>
      </c>
      <c r="B8" s="4" t="s">
        <v>87</v>
      </c>
      <c r="C8" s="4" t="s">
        <v>580</v>
      </c>
      <c r="D8" s="4" t="s">
        <v>48</v>
      </c>
      <c r="E8" s="5" t="s">
        <v>534</v>
      </c>
      <c r="F8" s="4" t="s">
        <v>544</v>
      </c>
      <c r="G8" s="4" t="s">
        <v>581</v>
      </c>
      <c r="H8" s="4" t="s">
        <v>582</v>
      </c>
      <c r="I8" s="4" t="s">
        <v>583</v>
      </c>
      <c r="J8" s="5" t="s">
        <v>419</v>
      </c>
      <c r="K8" s="6" t="s">
        <v>584</v>
      </c>
      <c r="L8" s="7" t="s">
        <v>17</v>
      </c>
      <c r="M8" s="6" t="s">
        <v>585</v>
      </c>
    </row>
    <row r="9" ht="80.25" customHeight="1" spans="1:13">
      <c r="A9" s="3" t="s">
        <v>586</v>
      </c>
      <c r="B9" s="4" t="s">
        <v>87</v>
      </c>
      <c r="C9" s="4" t="s">
        <v>587</v>
      </c>
      <c r="D9" s="4" t="s">
        <v>48</v>
      </c>
      <c r="E9" s="5" t="s">
        <v>534</v>
      </c>
      <c r="F9" s="4" t="s">
        <v>588</v>
      </c>
      <c r="G9" s="4" t="s">
        <v>589</v>
      </c>
      <c r="H9" s="4" t="s">
        <v>590</v>
      </c>
      <c r="I9" s="4" t="s">
        <v>591</v>
      </c>
      <c r="J9" s="5" t="s">
        <v>419</v>
      </c>
      <c r="K9" s="6" t="s">
        <v>592</v>
      </c>
      <c r="L9" s="7" t="s">
        <v>16</v>
      </c>
      <c r="M9" s="6" t="s">
        <v>593</v>
      </c>
    </row>
    <row r="10" ht="54.75" customHeight="1" spans="1:13">
      <c r="A10" s="3" t="s">
        <v>594</v>
      </c>
      <c r="B10" s="4" t="s">
        <v>91</v>
      </c>
      <c r="C10" s="4" t="s">
        <v>595</v>
      </c>
      <c r="D10" s="4" t="s">
        <v>48</v>
      </c>
      <c r="E10" s="5" t="s">
        <v>534</v>
      </c>
      <c r="F10" s="4" t="s">
        <v>544</v>
      </c>
      <c r="G10" s="4" t="s">
        <v>596</v>
      </c>
      <c r="H10" s="4" t="s">
        <v>597</v>
      </c>
      <c r="I10" s="4" t="s">
        <v>598</v>
      </c>
      <c r="J10" s="5" t="s">
        <v>423</v>
      </c>
      <c r="K10" s="6" t="s">
        <v>599</v>
      </c>
      <c r="L10" s="7" t="s">
        <v>16</v>
      </c>
      <c r="M10" s="6" t="s">
        <v>600</v>
      </c>
    </row>
    <row r="11" ht="93" customHeight="1" spans="1:13">
      <c r="A11" s="3" t="s">
        <v>601</v>
      </c>
      <c r="B11" s="4" t="s">
        <v>91</v>
      </c>
      <c r="C11" s="4" t="s">
        <v>602</v>
      </c>
      <c r="D11" s="4" t="s">
        <v>50</v>
      </c>
      <c r="E11" s="5" t="s">
        <v>534</v>
      </c>
      <c r="F11" s="4" t="s">
        <v>535</v>
      </c>
      <c r="G11" s="4" t="s">
        <v>596</v>
      </c>
      <c r="H11" s="4" t="s">
        <v>603</v>
      </c>
      <c r="I11" s="4" t="s">
        <v>604</v>
      </c>
      <c r="J11" s="5" t="s">
        <v>423</v>
      </c>
      <c r="K11" s="6" t="s">
        <v>605</v>
      </c>
      <c r="L11" s="7" t="s">
        <v>16</v>
      </c>
      <c r="M11" s="6" t="s">
        <v>606</v>
      </c>
    </row>
    <row r="12" ht="67.5" customHeight="1" spans="1:13">
      <c r="A12" s="3" t="s">
        <v>607</v>
      </c>
      <c r="B12" s="4" t="s">
        <v>91</v>
      </c>
      <c r="C12" s="4" t="s">
        <v>608</v>
      </c>
      <c r="D12" s="4" t="s">
        <v>48</v>
      </c>
      <c r="E12" s="5" t="s">
        <v>560</v>
      </c>
      <c r="F12" s="4" t="s">
        <v>609</v>
      </c>
      <c r="G12" s="4" t="s">
        <v>610</v>
      </c>
      <c r="H12" s="4" t="s">
        <v>611</v>
      </c>
      <c r="I12" s="4" t="s">
        <v>612</v>
      </c>
      <c r="J12" s="5" t="s">
        <v>423</v>
      </c>
      <c r="K12" s="6" t="s">
        <v>613</v>
      </c>
      <c r="L12" s="7" t="s">
        <v>16</v>
      </c>
      <c r="M12" s="6" t="s">
        <v>614</v>
      </c>
    </row>
    <row r="13" ht="54.75" customHeight="1" spans="1:13">
      <c r="A13" s="3" t="s">
        <v>615</v>
      </c>
      <c r="B13" s="4" t="s">
        <v>616</v>
      </c>
      <c r="C13" s="4" t="s">
        <v>617</v>
      </c>
      <c r="D13" s="4" t="s">
        <v>48</v>
      </c>
      <c r="E13" s="5" t="s">
        <v>534</v>
      </c>
      <c r="F13" s="4" t="s">
        <v>544</v>
      </c>
      <c r="G13" s="4" t="s">
        <v>618</v>
      </c>
      <c r="H13" s="4" t="s">
        <v>619</v>
      </c>
      <c r="I13" s="4" t="s">
        <v>620</v>
      </c>
      <c r="J13" s="5" t="s">
        <v>462</v>
      </c>
      <c r="K13" s="6"/>
      <c r="L13" s="7" t="s">
        <v>17</v>
      </c>
      <c r="M13" s="6"/>
    </row>
    <row r="14" ht="68.25" customHeight="1" spans="1:13">
      <c r="A14" s="3" t="s">
        <v>621</v>
      </c>
      <c r="B14" s="4" t="s">
        <v>616</v>
      </c>
      <c r="C14" s="4" t="s">
        <v>622</v>
      </c>
      <c r="D14" s="4" t="s">
        <v>48</v>
      </c>
      <c r="E14" s="5" t="s">
        <v>534</v>
      </c>
      <c r="F14" s="4" t="s">
        <v>623</v>
      </c>
      <c r="G14" s="4" t="s">
        <v>624</v>
      </c>
      <c r="H14" s="4" t="s">
        <v>625</v>
      </c>
      <c r="I14" s="4" t="s">
        <v>626</v>
      </c>
      <c r="J14" s="5" t="s">
        <v>458</v>
      </c>
      <c r="K14" s="6" t="s">
        <v>627</v>
      </c>
      <c r="L14" s="7" t="s">
        <v>16</v>
      </c>
      <c r="M14" s="6" t="s">
        <v>628</v>
      </c>
    </row>
    <row r="15" ht="93" customHeight="1" spans="1:13">
      <c r="A15" s="3" t="s">
        <v>629</v>
      </c>
      <c r="B15" s="4" t="s">
        <v>616</v>
      </c>
      <c r="C15" s="4" t="s">
        <v>630</v>
      </c>
      <c r="D15" s="4" t="s">
        <v>50</v>
      </c>
      <c r="E15" s="5" t="s">
        <v>534</v>
      </c>
      <c r="F15" s="4" t="s">
        <v>535</v>
      </c>
      <c r="G15" s="4" t="s">
        <v>631</v>
      </c>
      <c r="H15" s="4" t="str">
        <f ca="1">"Expiry "&amp;TEXT(TODAY()-1,"mm/dd/yyyy")&amp;" (yesterday, reject)"&amp;CHAR(10)&amp;"Expiry "&amp;TEXT(TODAY(),"mm/dd/yyyy")&amp;" (today, accept)"&amp;CHAR(10)&amp;"Expiry "&amp;TEXT(TODAY()+1,"mm/dd/yyyy")&amp;" (tomorrow, accept)"</f>
        <v>Expiry 10/23/2026 (yesterday, reject)
Expiry 10/24/2026 (today, accept)
Expiry 10/25/2026 (tomorrow, accept)</v>
      </c>
      <c r="I15" s="4" t="s">
        <v>632</v>
      </c>
      <c r="J15" s="5" t="s">
        <v>462</v>
      </c>
      <c r="K15" s="6" t="s">
        <v>633</v>
      </c>
      <c r="L15" s="7" t="s">
        <v>16</v>
      </c>
      <c r="M15" s="6" t="s">
        <v>634</v>
      </c>
    </row>
    <row r="16" ht="68.25" customHeight="1" spans="1:13">
      <c r="A16" s="3" t="s">
        <v>635</v>
      </c>
      <c r="B16" s="4" t="s">
        <v>616</v>
      </c>
      <c r="C16" s="4" t="s">
        <v>636</v>
      </c>
      <c r="D16" s="4" t="s">
        <v>48</v>
      </c>
      <c r="E16" s="5" t="s">
        <v>560</v>
      </c>
      <c r="F16" s="4" t="s">
        <v>623</v>
      </c>
      <c r="G16" s="4" t="s">
        <v>637</v>
      </c>
      <c r="H16" s="4" t="s">
        <v>638</v>
      </c>
      <c r="I16" s="4" t="s">
        <v>639</v>
      </c>
      <c r="J16" s="5" t="s">
        <v>458</v>
      </c>
      <c r="K16" s="6" t="s">
        <v>640</v>
      </c>
      <c r="L16" s="7" t="s">
        <v>16</v>
      </c>
      <c r="M16" s="6" t="s">
        <v>641</v>
      </c>
    </row>
    <row r="17" ht="93" customHeight="1" spans="1:13">
      <c r="A17" s="3" t="s">
        <v>642</v>
      </c>
      <c r="B17" s="4" t="s">
        <v>643</v>
      </c>
      <c r="C17" s="4" t="s">
        <v>644</v>
      </c>
      <c r="D17" s="4" t="s">
        <v>48</v>
      </c>
      <c r="E17" s="5" t="s">
        <v>534</v>
      </c>
      <c r="F17" s="4" t="s">
        <v>535</v>
      </c>
      <c r="G17" s="4" t="s">
        <v>645</v>
      </c>
      <c r="H17" s="4" t="s">
        <v>646</v>
      </c>
      <c r="I17" s="4" t="s">
        <v>647</v>
      </c>
      <c r="J17" s="5" t="s">
        <v>444</v>
      </c>
      <c r="K17" s="6" t="s">
        <v>648</v>
      </c>
      <c r="L17" s="7" t="s">
        <v>16</v>
      </c>
      <c r="M17" s="6" t="s">
        <v>649</v>
      </c>
    </row>
    <row r="18" ht="54.75" customHeight="1" spans="1:13">
      <c r="A18" s="3" t="s">
        <v>650</v>
      </c>
      <c r="B18" s="4" t="s">
        <v>643</v>
      </c>
      <c r="C18" s="4" t="s">
        <v>651</v>
      </c>
      <c r="D18" s="4" t="s">
        <v>48</v>
      </c>
      <c r="E18" s="5" t="s">
        <v>534</v>
      </c>
      <c r="F18" s="4" t="s">
        <v>544</v>
      </c>
      <c r="G18" s="4" t="s">
        <v>652</v>
      </c>
      <c r="H18" s="4" t="s">
        <v>653</v>
      </c>
      <c r="I18" s="4" t="s">
        <v>654</v>
      </c>
      <c r="J18" s="5" t="s">
        <v>444</v>
      </c>
      <c r="K18" s="6" t="s">
        <v>655</v>
      </c>
      <c r="L18" s="7" t="s">
        <v>16</v>
      </c>
      <c r="M18" s="6" t="s">
        <v>656</v>
      </c>
    </row>
    <row r="19" ht="93" customHeight="1" spans="1:13">
      <c r="A19" s="3" t="s">
        <v>657</v>
      </c>
      <c r="B19" s="4" t="s">
        <v>643</v>
      </c>
      <c r="C19" s="4" t="s">
        <v>658</v>
      </c>
      <c r="D19" s="4" t="s">
        <v>50</v>
      </c>
      <c r="E19" s="5" t="s">
        <v>534</v>
      </c>
      <c r="F19" s="4" t="s">
        <v>535</v>
      </c>
      <c r="G19" s="4" t="s">
        <v>659</v>
      </c>
      <c r="H19" s="4" t="s">
        <v>660</v>
      </c>
      <c r="I19" s="4" t="s">
        <v>661</v>
      </c>
      <c r="J19" s="5" t="s">
        <v>444</v>
      </c>
      <c r="K19" s="6" t="s">
        <v>662</v>
      </c>
      <c r="L19" s="7" t="s">
        <v>17</v>
      </c>
      <c r="M19" s="6" t="s">
        <v>663</v>
      </c>
    </row>
    <row r="20" ht="93" customHeight="1" spans="1:13">
      <c r="A20" s="3" t="s">
        <v>664</v>
      </c>
      <c r="B20" s="4" t="s">
        <v>532</v>
      </c>
      <c r="C20" s="4" t="s">
        <v>665</v>
      </c>
      <c r="D20" s="4" t="s">
        <v>58</v>
      </c>
      <c r="E20" s="5" t="s">
        <v>560</v>
      </c>
      <c r="F20" s="4" t="s">
        <v>535</v>
      </c>
      <c r="G20" s="4" t="s">
        <v>666</v>
      </c>
      <c r="H20" s="4" t="s">
        <v>667</v>
      </c>
      <c r="I20" s="4" t="s">
        <v>668</v>
      </c>
      <c r="J20" s="5" t="s">
        <v>419</v>
      </c>
      <c r="K20" s="6" t="s">
        <v>669</v>
      </c>
      <c r="L20" s="7" t="s">
        <v>18</v>
      </c>
      <c r="M20" s="6" t="s">
        <v>670</v>
      </c>
    </row>
    <row r="21" ht="57" customHeight="1" spans="1:13">
      <c r="A21" s="3" t="s">
        <v>671</v>
      </c>
      <c r="B21" s="4" t="s">
        <v>672</v>
      </c>
      <c r="C21" s="4" t="s">
        <v>673</v>
      </c>
      <c r="D21" s="4" t="s">
        <v>54</v>
      </c>
      <c r="E21" s="5" t="s">
        <v>534</v>
      </c>
      <c r="F21" s="4" t="s">
        <v>674</v>
      </c>
      <c r="G21" s="4" t="s">
        <v>675</v>
      </c>
      <c r="H21" s="4" t="s">
        <v>676</v>
      </c>
      <c r="I21" s="4" t="s">
        <v>677</v>
      </c>
      <c r="J21" s="5" t="s">
        <v>678</v>
      </c>
      <c r="K21" s="6" t="s">
        <v>679</v>
      </c>
      <c r="L21" s="7" t="s">
        <v>17</v>
      </c>
      <c r="M21" s="6" t="s">
        <v>680</v>
      </c>
    </row>
    <row r="22" ht="67.5" customHeight="1" spans="1:13">
      <c r="A22" s="3" t="s">
        <v>681</v>
      </c>
      <c r="B22" s="4" t="s">
        <v>672</v>
      </c>
      <c r="C22" s="4" t="s">
        <v>682</v>
      </c>
      <c r="D22" s="4" t="s">
        <v>52</v>
      </c>
      <c r="E22" s="5" t="s">
        <v>534</v>
      </c>
      <c r="F22" s="4" t="s">
        <v>674</v>
      </c>
      <c r="G22" s="4" t="s">
        <v>683</v>
      </c>
      <c r="H22" s="4" t="s">
        <v>684</v>
      </c>
      <c r="I22" s="4" t="s">
        <v>685</v>
      </c>
      <c r="J22" s="5" t="s">
        <v>427</v>
      </c>
      <c r="K22" s="6" t="s">
        <v>686</v>
      </c>
      <c r="L22" s="7" t="s">
        <v>17</v>
      </c>
      <c r="M22" s="6" t="s">
        <v>687</v>
      </c>
    </row>
    <row r="23" ht="57" customHeight="1" spans="1:13">
      <c r="A23" s="3" t="s">
        <v>688</v>
      </c>
      <c r="B23" s="4" t="s">
        <v>672</v>
      </c>
      <c r="C23" s="4" t="s">
        <v>689</v>
      </c>
      <c r="D23" s="4" t="s">
        <v>48</v>
      </c>
      <c r="E23" s="5" t="s">
        <v>560</v>
      </c>
      <c r="F23" s="4" t="s">
        <v>674</v>
      </c>
      <c r="G23" s="4" t="s">
        <v>690</v>
      </c>
      <c r="H23" s="4" t="s">
        <v>691</v>
      </c>
      <c r="I23" s="4" t="s">
        <v>692</v>
      </c>
      <c r="J23" s="5" t="s">
        <v>427</v>
      </c>
      <c r="K23" s="6" t="s">
        <v>693</v>
      </c>
      <c r="L23" s="7" t="s">
        <v>17</v>
      </c>
      <c r="M23" s="6" t="s">
        <v>694</v>
      </c>
    </row>
    <row r="24" ht="57" customHeight="1" spans="1:13">
      <c r="A24" s="3" t="s">
        <v>695</v>
      </c>
      <c r="B24" s="4" t="s">
        <v>672</v>
      </c>
      <c r="C24" s="4" t="s">
        <v>696</v>
      </c>
      <c r="D24" s="4" t="s">
        <v>50</v>
      </c>
      <c r="E24" s="5" t="s">
        <v>534</v>
      </c>
      <c r="F24" s="4" t="s">
        <v>674</v>
      </c>
      <c r="G24" s="4" t="s">
        <v>697</v>
      </c>
      <c r="H24" s="4" t="s">
        <v>698</v>
      </c>
      <c r="I24" s="4" t="s">
        <v>699</v>
      </c>
      <c r="J24" s="5" t="s">
        <v>454</v>
      </c>
      <c r="K24" s="6" t="s">
        <v>700</v>
      </c>
      <c r="L24" s="7" t="s">
        <v>17</v>
      </c>
      <c r="M24" s="6" t="s">
        <v>701</v>
      </c>
    </row>
    <row r="25" ht="68.25" customHeight="1" spans="1:13">
      <c r="A25" s="3" t="s">
        <v>702</v>
      </c>
      <c r="B25" s="4" t="s">
        <v>672</v>
      </c>
      <c r="C25" s="4" t="s">
        <v>703</v>
      </c>
      <c r="D25" s="4" t="s">
        <v>54</v>
      </c>
      <c r="E25" s="5" t="s">
        <v>560</v>
      </c>
      <c r="F25" s="4" t="s">
        <v>704</v>
      </c>
      <c r="G25" s="4" t="s">
        <v>705</v>
      </c>
      <c r="H25" s="4" t="s">
        <v>706</v>
      </c>
      <c r="I25" s="4" t="s">
        <v>707</v>
      </c>
      <c r="J25" s="5" t="s">
        <v>454</v>
      </c>
      <c r="K25" s="6" t="s">
        <v>708</v>
      </c>
      <c r="L25" s="7" t="s">
        <v>17</v>
      </c>
      <c r="M25" s="6" t="s">
        <v>709</v>
      </c>
    </row>
    <row r="26" ht="34.5" customHeight="1" spans="1:13">
      <c r="A26" s="3" t="s">
        <v>710</v>
      </c>
      <c r="B26" s="4" t="s">
        <v>672</v>
      </c>
      <c r="C26" s="4" t="s">
        <v>711</v>
      </c>
      <c r="D26" s="4" t="s">
        <v>54</v>
      </c>
      <c r="E26" s="5" t="s">
        <v>560</v>
      </c>
      <c r="F26" s="4" t="s">
        <v>712</v>
      </c>
      <c r="G26" s="4" t="s">
        <v>713</v>
      </c>
      <c r="H26" s="4" t="s">
        <v>714</v>
      </c>
      <c r="I26" s="4" t="s">
        <v>715</v>
      </c>
      <c r="J26" s="5" t="s">
        <v>454</v>
      </c>
      <c r="K26" s="6" t="s">
        <v>716</v>
      </c>
      <c r="L26" s="7" t="s">
        <v>17</v>
      </c>
      <c r="M26" s="6" t="s">
        <v>717</v>
      </c>
    </row>
    <row r="27" ht="42" customHeight="1" spans="1:13">
      <c r="A27" s="3" t="s">
        <v>718</v>
      </c>
      <c r="B27" s="4" t="s">
        <v>672</v>
      </c>
      <c r="C27" s="4" t="s">
        <v>719</v>
      </c>
      <c r="D27" s="4" t="s">
        <v>54</v>
      </c>
      <c r="E27" s="5" t="s">
        <v>534</v>
      </c>
      <c r="F27" s="4" t="s">
        <v>720</v>
      </c>
      <c r="G27" s="4" t="s">
        <v>721</v>
      </c>
      <c r="H27" s="4" t="s">
        <v>722</v>
      </c>
      <c r="I27" s="4" t="s">
        <v>723</v>
      </c>
      <c r="J27" s="5" t="s">
        <v>454</v>
      </c>
      <c r="K27" s="6" t="s">
        <v>724</v>
      </c>
      <c r="L27" s="7" t="s">
        <v>16</v>
      </c>
      <c r="M27" s="6" t="s">
        <v>725</v>
      </c>
    </row>
    <row r="28" ht="42" customHeight="1" spans="1:13">
      <c r="A28" s="3" t="s">
        <v>726</v>
      </c>
      <c r="B28" s="4" t="s">
        <v>727</v>
      </c>
      <c r="C28" s="4" t="s">
        <v>728</v>
      </c>
      <c r="D28" s="4" t="s">
        <v>56</v>
      </c>
      <c r="E28" s="5" t="s">
        <v>534</v>
      </c>
      <c r="F28" s="4" t="s">
        <v>729</v>
      </c>
      <c r="G28" s="4" t="s">
        <v>721</v>
      </c>
      <c r="H28" s="4" t="s">
        <v>722</v>
      </c>
      <c r="I28" s="4" t="s">
        <v>730</v>
      </c>
      <c r="J28" s="5" t="s">
        <v>454</v>
      </c>
      <c r="K28" s="6" t="s">
        <v>731</v>
      </c>
      <c r="L28" s="7" t="s">
        <v>16</v>
      </c>
      <c r="M28" s="6" t="s">
        <v>732</v>
      </c>
    </row>
    <row r="29" ht="45.75" customHeight="1" spans="1:13">
      <c r="A29" s="3" t="s">
        <v>733</v>
      </c>
      <c r="B29" s="4" t="s">
        <v>727</v>
      </c>
      <c r="C29" s="4" t="s">
        <v>734</v>
      </c>
      <c r="D29" s="4" t="s">
        <v>58</v>
      </c>
      <c r="E29" s="5" t="s">
        <v>534</v>
      </c>
      <c r="F29" s="4" t="s">
        <v>735</v>
      </c>
      <c r="G29" s="4" t="s">
        <v>736</v>
      </c>
      <c r="H29" s="4" t="s">
        <v>737</v>
      </c>
      <c r="I29" s="4" t="s">
        <v>738</v>
      </c>
      <c r="J29" s="5" t="s">
        <v>454</v>
      </c>
      <c r="K29" s="6" t="s">
        <v>739</v>
      </c>
      <c r="L29" s="7" t="s">
        <v>16</v>
      </c>
      <c r="M29" s="6" t="s">
        <v>740</v>
      </c>
    </row>
    <row r="30" ht="54.75" customHeight="1" spans="1:13">
      <c r="A30" s="3" t="s">
        <v>741</v>
      </c>
      <c r="B30" s="4" t="s">
        <v>727</v>
      </c>
      <c r="C30" s="4" t="s">
        <v>742</v>
      </c>
      <c r="D30" s="4" t="s">
        <v>58</v>
      </c>
      <c r="E30" s="5" t="s">
        <v>534</v>
      </c>
      <c r="F30" s="4" t="s">
        <v>743</v>
      </c>
      <c r="G30" s="4" t="s">
        <v>744</v>
      </c>
      <c r="H30" s="4" t="s">
        <v>745</v>
      </c>
      <c r="I30" s="4" t="s">
        <v>746</v>
      </c>
      <c r="J30" s="5" t="s">
        <v>747</v>
      </c>
      <c r="K30" s="6" t="s">
        <v>748</v>
      </c>
      <c r="L30" s="7" t="s">
        <v>16</v>
      </c>
      <c r="M30" s="6" t="s">
        <v>749</v>
      </c>
    </row>
    <row r="31" ht="105.75" customHeight="1" spans="1:13">
      <c r="A31" s="3" t="s">
        <v>750</v>
      </c>
      <c r="B31" s="4" t="s">
        <v>727</v>
      </c>
      <c r="C31" s="4" t="s">
        <v>751</v>
      </c>
      <c r="D31" s="4" t="s">
        <v>58</v>
      </c>
      <c r="E31" s="5" t="s">
        <v>534</v>
      </c>
      <c r="F31" s="4" t="s">
        <v>752</v>
      </c>
      <c r="G31" s="4" t="s">
        <v>753</v>
      </c>
      <c r="H31" s="4" t="s">
        <v>754</v>
      </c>
      <c r="I31" s="4" t="s">
        <v>755</v>
      </c>
      <c r="J31" s="5" t="s">
        <v>756</v>
      </c>
      <c r="K31" s="6" t="s">
        <v>757</v>
      </c>
      <c r="L31" s="7" t="s">
        <v>16</v>
      </c>
      <c r="M31" s="6" t="s">
        <v>758</v>
      </c>
    </row>
    <row r="32" ht="67.5" customHeight="1" spans="1:13">
      <c r="A32" s="3" t="s">
        <v>759</v>
      </c>
      <c r="B32" s="4" t="s">
        <v>727</v>
      </c>
      <c r="C32" s="4" t="s">
        <v>760</v>
      </c>
      <c r="D32" s="4" t="s">
        <v>54</v>
      </c>
      <c r="E32" s="5" t="s">
        <v>534</v>
      </c>
      <c r="F32" s="4" t="s">
        <v>761</v>
      </c>
      <c r="G32" s="4" t="s">
        <v>762</v>
      </c>
      <c r="H32" s="4" t="s">
        <v>763</v>
      </c>
      <c r="I32" s="4" t="s">
        <v>764</v>
      </c>
      <c r="J32" s="5" t="s">
        <v>765</v>
      </c>
      <c r="K32" s="6" t="s">
        <v>766</v>
      </c>
      <c r="L32" s="7" t="s">
        <v>16</v>
      </c>
      <c r="M32" s="6" t="s">
        <v>767</v>
      </c>
    </row>
    <row r="33" ht="80.25" customHeight="1" spans="1:13">
      <c r="A33" s="3" t="s">
        <v>768</v>
      </c>
      <c r="B33" s="4" t="s">
        <v>727</v>
      </c>
      <c r="C33" s="4" t="s">
        <v>769</v>
      </c>
      <c r="D33" s="4" t="s">
        <v>58</v>
      </c>
      <c r="E33" s="5" t="s">
        <v>560</v>
      </c>
      <c r="F33" s="4" t="s">
        <v>770</v>
      </c>
      <c r="G33" s="4" t="s">
        <v>771</v>
      </c>
      <c r="H33" s="4" t="s">
        <v>772</v>
      </c>
      <c r="I33" s="4" t="s">
        <v>773</v>
      </c>
      <c r="J33" s="5" t="s">
        <v>756</v>
      </c>
      <c r="K33" s="6" t="s">
        <v>774</v>
      </c>
      <c r="L33" s="7" t="s">
        <v>16</v>
      </c>
      <c r="M33" s="6" t="s">
        <v>775</v>
      </c>
    </row>
    <row r="34" ht="80.25" customHeight="1" spans="1:13">
      <c r="A34" s="3" t="s">
        <v>776</v>
      </c>
      <c r="B34" s="4" t="s">
        <v>532</v>
      </c>
      <c r="C34" s="4" t="s">
        <v>777</v>
      </c>
      <c r="D34" s="4" t="s">
        <v>58</v>
      </c>
      <c r="E34" s="5" t="s">
        <v>560</v>
      </c>
      <c r="F34" s="4" t="s">
        <v>778</v>
      </c>
      <c r="G34" s="4" t="s">
        <v>779</v>
      </c>
      <c r="H34" s="4" t="s">
        <v>780</v>
      </c>
      <c r="I34" s="4" t="s">
        <v>781</v>
      </c>
      <c r="J34" s="5" t="s">
        <v>482</v>
      </c>
      <c r="K34" s="6"/>
      <c r="L34" s="7" t="s">
        <v>17</v>
      </c>
    </row>
    <row r="35" ht="67.5" customHeight="1" spans="1:13">
      <c r="A35" s="3" t="s">
        <v>782</v>
      </c>
      <c r="B35" s="4" t="s">
        <v>532</v>
      </c>
      <c r="C35" s="4" t="s">
        <v>783</v>
      </c>
      <c r="D35" s="4" t="s">
        <v>58</v>
      </c>
      <c r="E35" s="5" t="s">
        <v>784</v>
      </c>
      <c r="F35" s="4" t="s">
        <v>778</v>
      </c>
      <c r="G35" s="4" t="s">
        <v>785</v>
      </c>
      <c r="H35" s="4" t="s">
        <v>786</v>
      </c>
      <c r="I35" s="4" t="s">
        <v>787</v>
      </c>
      <c r="J35" s="5" t="s">
        <v>788</v>
      </c>
      <c r="K35" s="6"/>
      <c r="L35" s="7" t="s">
        <v>17</v>
      </c>
      <c r="M35" s="6"/>
    </row>
    <row r="36" ht="80.25" customHeight="1" spans="1:13">
      <c r="A36" s="3" t="s">
        <v>789</v>
      </c>
      <c r="B36" s="4" t="s">
        <v>532</v>
      </c>
      <c r="C36" s="4" t="s">
        <v>790</v>
      </c>
      <c r="D36" s="4" t="s">
        <v>58</v>
      </c>
      <c r="E36" s="5" t="s">
        <v>560</v>
      </c>
      <c r="F36" s="4" t="s">
        <v>778</v>
      </c>
      <c r="G36" s="4" t="s">
        <v>791</v>
      </c>
      <c r="H36" s="4" t="s">
        <v>792</v>
      </c>
      <c r="I36" s="4" t="s">
        <v>793</v>
      </c>
      <c r="J36" s="5" t="s">
        <v>489</v>
      </c>
      <c r="K36" s="6"/>
      <c r="L36" s="7" t="s">
        <v>17</v>
      </c>
      <c r="M36" s="6"/>
    </row>
    <row r="37" ht="54.75" customHeight="1" spans="1:13">
      <c r="A37" s="3" t="s">
        <v>794</v>
      </c>
      <c r="B37" s="4" t="s">
        <v>532</v>
      </c>
      <c r="C37" s="4" t="s">
        <v>795</v>
      </c>
      <c r="D37" s="4" t="s">
        <v>58</v>
      </c>
      <c r="E37" s="5" t="s">
        <v>784</v>
      </c>
      <c r="F37" s="4" t="s">
        <v>778</v>
      </c>
      <c r="G37" s="4" t="s">
        <v>796</v>
      </c>
      <c r="H37" s="4" t="s">
        <v>797</v>
      </c>
      <c r="I37" s="4" t="s">
        <v>798</v>
      </c>
      <c r="J37" s="5" t="s">
        <v>489</v>
      </c>
      <c r="K37" s="6"/>
      <c r="L37" s="7" t="s">
        <v>17</v>
      </c>
      <c r="M37" s="6"/>
    </row>
    <row r="38" ht="80.25" customHeight="1" spans="1:13">
      <c r="A38" s="3" t="s">
        <v>799</v>
      </c>
      <c r="B38" s="4" t="s">
        <v>532</v>
      </c>
      <c r="C38" s="4" t="s">
        <v>800</v>
      </c>
      <c r="D38" s="4" t="s">
        <v>48</v>
      </c>
      <c r="E38" s="5" t="s">
        <v>534</v>
      </c>
      <c r="F38" s="4" t="s">
        <v>801</v>
      </c>
      <c r="G38" s="4" t="s">
        <v>802</v>
      </c>
      <c r="H38" s="4" t="s">
        <v>803</v>
      </c>
      <c r="I38" s="4" t="s">
        <v>804</v>
      </c>
      <c r="J38" s="5" t="s">
        <v>805</v>
      </c>
      <c r="K38" s="6"/>
      <c r="L38" s="7" t="s">
        <v>16</v>
      </c>
      <c r="M38" s="6"/>
    </row>
    <row r="39" ht="93" customHeight="1" spans="1:13">
      <c r="A39" s="3" t="s">
        <v>806</v>
      </c>
      <c r="B39" s="4" t="s">
        <v>532</v>
      </c>
      <c r="C39" s="4" t="s">
        <v>807</v>
      </c>
      <c r="D39" s="4" t="s">
        <v>58</v>
      </c>
      <c r="E39" s="5" t="s">
        <v>534</v>
      </c>
      <c r="F39" s="4" t="s">
        <v>801</v>
      </c>
      <c r="G39" s="4" t="s">
        <v>808</v>
      </c>
      <c r="H39" s="4" t="s">
        <v>809</v>
      </c>
      <c r="I39" s="4" t="s">
        <v>810</v>
      </c>
      <c r="J39" s="5" t="s">
        <v>805</v>
      </c>
      <c r="K39" s="6"/>
      <c r="L39" s="7" t="s">
        <v>16</v>
      </c>
      <c r="M39" s="6"/>
    </row>
    <row r="40" ht="67.5" customHeight="1" spans="1:13">
      <c r="A40" s="3" t="s">
        <v>811</v>
      </c>
      <c r="B40" s="4" t="s">
        <v>532</v>
      </c>
      <c r="C40" s="4" t="s">
        <v>812</v>
      </c>
      <c r="D40" s="4" t="s">
        <v>54</v>
      </c>
      <c r="E40" s="5" t="s">
        <v>560</v>
      </c>
      <c r="F40" s="4" t="s">
        <v>778</v>
      </c>
      <c r="G40" s="4" t="s">
        <v>813</v>
      </c>
      <c r="H40" s="4" t="s">
        <v>786</v>
      </c>
      <c r="I40" s="4" t="s">
        <v>814</v>
      </c>
      <c r="J40" s="5" t="s">
        <v>505</v>
      </c>
      <c r="K40" s="6"/>
      <c r="L40" s="7" t="s">
        <v>16</v>
      </c>
      <c r="M40" s="6"/>
    </row>
    <row r="41" ht="80.25" customHeight="1" spans="1:13">
      <c r="A41" s="3" t="s">
        <v>815</v>
      </c>
      <c r="B41" s="4" t="s">
        <v>643</v>
      </c>
      <c r="C41" s="4" t="s">
        <v>816</v>
      </c>
      <c r="D41" s="4" t="s">
        <v>48</v>
      </c>
      <c r="E41" s="5" t="s">
        <v>534</v>
      </c>
      <c r="F41" s="4" t="s">
        <v>801</v>
      </c>
      <c r="G41" s="4" t="s">
        <v>817</v>
      </c>
      <c r="H41" s="4" t="s">
        <v>818</v>
      </c>
      <c r="I41" s="4" t="s">
        <v>819</v>
      </c>
      <c r="J41" s="5" t="s">
        <v>820</v>
      </c>
      <c r="K41" s="6"/>
      <c r="L41" s="7" t="s">
        <v>16</v>
      </c>
      <c r="M41" s="6"/>
    </row>
    <row r="42" ht="80.25" customHeight="1" spans="1:13">
      <c r="A42" s="3" t="s">
        <v>821</v>
      </c>
      <c r="B42" s="4" t="s">
        <v>643</v>
      </c>
      <c r="C42" s="4" t="s">
        <v>822</v>
      </c>
      <c r="D42" s="4" t="s">
        <v>58</v>
      </c>
      <c r="E42" s="5" t="s">
        <v>560</v>
      </c>
      <c r="F42" s="4" t="s">
        <v>778</v>
      </c>
      <c r="G42" s="4" t="s">
        <v>823</v>
      </c>
      <c r="H42" s="4" t="s">
        <v>824</v>
      </c>
      <c r="I42" s="4" t="s">
        <v>825</v>
      </c>
      <c r="J42" s="5" t="s">
        <v>497</v>
      </c>
      <c r="K42" s="6"/>
      <c r="L42" s="7" t="s">
        <v>16</v>
      </c>
      <c r="M42" s="6"/>
    </row>
    <row r="43" ht="80.25" customHeight="1" spans="1:13">
      <c r="A43" s="3" t="s">
        <v>826</v>
      </c>
      <c r="B43" s="4" t="s">
        <v>643</v>
      </c>
      <c r="C43" s="4" t="s">
        <v>827</v>
      </c>
      <c r="D43" s="4" t="s">
        <v>50</v>
      </c>
      <c r="E43" s="5" t="s">
        <v>560</v>
      </c>
      <c r="F43" s="4" t="s">
        <v>778</v>
      </c>
      <c r="G43" s="4" t="s">
        <v>828</v>
      </c>
      <c r="H43" s="4" t="s">
        <v>829</v>
      </c>
      <c r="I43" s="4" t="s">
        <v>830</v>
      </c>
      <c r="J43" s="5" t="s">
        <v>831</v>
      </c>
      <c r="K43" s="6" t="s">
        <v>832</v>
      </c>
      <c r="L43" s="7" t="s">
        <v>16</v>
      </c>
      <c r="M43" s="6"/>
    </row>
    <row r="44" ht="54.75" customHeight="1" spans="1:13">
      <c r="A44" s="3" t="s">
        <v>833</v>
      </c>
      <c r="B44" s="4" t="s">
        <v>532</v>
      </c>
      <c r="C44" s="4" t="s">
        <v>834</v>
      </c>
      <c r="D44" s="4" t="s">
        <v>58</v>
      </c>
      <c r="E44" s="5" t="s">
        <v>784</v>
      </c>
      <c r="F44" s="4" t="s">
        <v>778</v>
      </c>
      <c r="G44" s="4" t="s">
        <v>835</v>
      </c>
      <c r="H44" s="4" t="s">
        <v>546</v>
      </c>
      <c r="I44" s="4" t="s">
        <v>836</v>
      </c>
      <c r="J44" s="5" t="s">
        <v>520</v>
      </c>
      <c r="K44" s="6" t="s">
        <v>837</v>
      </c>
      <c r="L44" s="7" t="s">
        <v>17</v>
      </c>
      <c r="M44" s="6"/>
    </row>
    <row r="45" ht="80.25" customHeight="1" spans="1:13">
      <c r="A45" s="3" t="s">
        <v>838</v>
      </c>
      <c r="B45" s="4" t="s">
        <v>672</v>
      </c>
      <c r="C45" s="4" t="s">
        <v>839</v>
      </c>
      <c r="D45" s="4" t="s">
        <v>56</v>
      </c>
      <c r="E45" s="5" t="s">
        <v>534</v>
      </c>
      <c r="F45" s="4" t="s">
        <v>840</v>
      </c>
      <c r="G45" s="4" t="s">
        <v>841</v>
      </c>
      <c r="H45" s="4" t="s">
        <v>842</v>
      </c>
      <c r="I45" s="4" t="s">
        <v>843</v>
      </c>
      <c r="J45" s="5" t="s">
        <v>747</v>
      </c>
      <c r="K45" s="6" t="s">
        <v>844</v>
      </c>
      <c r="L45" s="7" t="s">
        <v>17</v>
      </c>
      <c r="M45" s="6"/>
    </row>
    <row r="46" ht="54.75" customHeight="1" spans="1:13">
      <c r="A46" s="3" t="s">
        <v>845</v>
      </c>
      <c r="B46" s="4" t="s">
        <v>672</v>
      </c>
      <c r="C46" s="4" t="s">
        <v>846</v>
      </c>
      <c r="D46" s="4" t="s">
        <v>58</v>
      </c>
      <c r="E46" s="5" t="s">
        <v>784</v>
      </c>
      <c r="F46" s="4" t="s">
        <v>847</v>
      </c>
      <c r="G46" s="4" t="s">
        <v>848</v>
      </c>
      <c r="H46" s="4" t="s">
        <v>849</v>
      </c>
      <c r="I46" s="4" t="s">
        <v>850</v>
      </c>
      <c r="J46" s="5" t="s">
        <v>747</v>
      </c>
      <c r="K46" s="6" t="s">
        <v>851</v>
      </c>
      <c r="L46" s="7" t="s">
        <v>17</v>
      </c>
      <c r="M46" s="6"/>
    </row>
    <row r="47" ht="54.75" customHeight="1" spans="1:13">
      <c r="A47" s="3" t="s">
        <v>852</v>
      </c>
      <c r="B47" s="4" t="s">
        <v>727</v>
      </c>
      <c r="C47" s="4" t="s">
        <v>853</v>
      </c>
      <c r="D47" s="4" t="s">
        <v>54</v>
      </c>
      <c r="E47" s="5" t="s">
        <v>560</v>
      </c>
      <c r="F47" s="4" t="s">
        <v>854</v>
      </c>
      <c r="G47" s="4" t="s">
        <v>855</v>
      </c>
      <c r="H47" s="4" t="s">
        <v>722</v>
      </c>
      <c r="I47" s="4" t="s">
        <v>856</v>
      </c>
      <c r="J47" s="5" t="s">
        <v>509</v>
      </c>
      <c r="K47" s="6" t="s">
        <v>857</v>
      </c>
      <c r="L47" s="7" t="s">
        <v>17</v>
      </c>
      <c r="M47" s="6"/>
    </row>
    <row r="48" ht="54.75" customHeight="1" spans="1:13">
      <c r="A48" s="3" t="s">
        <v>858</v>
      </c>
      <c r="B48" s="4" t="s">
        <v>727</v>
      </c>
      <c r="C48" s="4" t="s">
        <v>859</v>
      </c>
      <c r="D48" s="4" t="s">
        <v>54</v>
      </c>
      <c r="E48" s="5" t="s">
        <v>534</v>
      </c>
      <c r="F48" s="4" t="s">
        <v>854</v>
      </c>
      <c r="G48" s="4" t="s">
        <v>860</v>
      </c>
      <c r="H48" s="4" t="s">
        <v>722</v>
      </c>
      <c r="I48" s="4" t="s">
        <v>861</v>
      </c>
      <c r="J48" s="5" t="s">
        <v>862</v>
      </c>
      <c r="K48" s="6" t="s">
        <v>863</v>
      </c>
      <c r="L48" s="7" t="s">
        <v>16</v>
      </c>
      <c r="M48" s="6"/>
    </row>
  </sheetData>
  <autoFilter xmlns:etc="http://www.wps.cn/officeDocument/2017/etCustomData" ref="A1:M48" etc:filterBottomFollowUsedRange="0">
    <extLst/>
  </autoFilter>
  <conditionalFormatting sqref="L42">
    <cfRule type="cellIs" dxfId="0" priority="21" operator="equal">
      <formula>"Blocked"</formula>
    </cfRule>
    <cfRule type="cellIs" dxfId="1" priority="20" operator="equal">
      <formula>"Fail"</formula>
    </cfRule>
    <cfRule type="cellIs" dxfId="2" priority="19" operator="equal">
      <formula>"Pass"</formula>
    </cfRule>
  </conditionalFormatting>
  <conditionalFormatting sqref="L43">
    <cfRule type="cellIs" dxfId="0" priority="18" operator="equal">
      <formula>"Blocked"</formula>
    </cfRule>
    <cfRule type="cellIs" dxfId="1" priority="17" operator="equal">
      <formula>"Fail"</formula>
    </cfRule>
    <cfRule type="cellIs" dxfId="2" priority="16" operator="equal">
      <formula>"Pass"</formula>
    </cfRule>
  </conditionalFormatting>
  <conditionalFormatting sqref="L44">
    <cfRule type="cellIs" dxfId="0" priority="15" operator="equal">
      <formula>"Blocked"</formula>
    </cfRule>
    <cfRule type="cellIs" dxfId="1" priority="14" operator="equal">
      <formula>"Fail"</formula>
    </cfRule>
    <cfRule type="cellIs" dxfId="2" priority="13" operator="equal">
      <formula>"Pass"</formula>
    </cfRule>
  </conditionalFormatting>
  <conditionalFormatting sqref="L45">
    <cfRule type="cellIs" dxfId="0" priority="12" operator="equal">
      <formula>"Blocked"</formula>
    </cfRule>
    <cfRule type="cellIs" dxfId="1" priority="11" operator="equal">
      <formula>"Fail"</formula>
    </cfRule>
    <cfRule type="cellIs" dxfId="2" priority="10" operator="equal">
      <formula>"Pass"</formula>
    </cfRule>
  </conditionalFormatting>
  <conditionalFormatting sqref="L46">
    <cfRule type="cellIs" dxfId="0" priority="9" operator="equal">
      <formula>"Blocked"</formula>
    </cfRule>
    <cfRule type="cellIs" dxfId="1" priority="8" operator="equal">
      <formula>"Fail"</formula>
    </cfRule>
    <cfRule type="cellIs" dxfId="2" priority="7" operator="equal">
      <formula>"Pass"</formula>
    </cfRule>
  </conditionalFormatting>
  <conditionalFormatting sqref="L47">
    <cfRule type="cellIs" dxfId="0" priority="6" operator="equal">
      <formula>"Blocked"</formula>
    </cfRule>
    <cfRule type="cellIs" dxfId="1" priority="5" operator="equal">
      <formula>"Fail"</formula>
    </cfRule>
    <cfRule type="cellIs" dxfId="2" priority="4" operator="equal">
      <formula>"Pass"</formula>
    </cfRule>
  </conditionalFormatting>
  <conditionalFormatting sqref="L48">
    <cfRule type="cellIs" dxfId="0" priority="3" operator="equal">
      <formula>"Blocked"</formula>
    </cfRule>
    <cfRule type="cellIs" dxfId="1" priority="2" operator="equal">
      <formula>"Fail"</formula>
    </cfRule>
    <cfRule type="cellIs" dxfId="2" priority="1" operator="equal">
      <formula>"Pass"</formula>
    </cfRule>
  </conditionalFormatting>
  <conditionalFormatting sqref="L2:L41">
    <cfRule type="cellIs" dxfId="2" priority="47" operator="equal">
      <formula>"Pass"</formula>
    </cfRule>
    <cfRule type="cellIs" dxfId="1" priority="48" operator="equal">
      <formula>"Fail"</formula>
    </cfRule>
    <cfRule type="cellIs" dxfId="0" priority="49" operator="equal">
      <formula>"Blocked"</formula>
    </cfRule>
  </conditionalFormatting>
  <dataValidations count="1">
    <dataValidation type="list" errorTitle="Invalid status" error="Choose Pass, Fail, Blocked or Not Run." sqref="L2:L33 L34:L41 L42:L48">
      <formula1>"Pass,Fail,Blocked,Not Run"</formula1>
    </dataValidation>
  </dataValidations>
  <pageMargins left="0.75" right="0.75" top="1" bottom="1" header="0.511811023622047" footer="0.511811023622047"/>
  <pageSetup paperSize="9" fitToHeight="0" orientation="landscape" horizontalDpi="300" verticalDpi="300"/>
  <headerFooter>
    <oddHeader>&amp;C
    </oddHeader>
    <oddFooter>&amp;C
    </oddFooter>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5</vt:i4>
      </vt:variant>
    </vt:vector>
  </HeadingPairs>
  <TitlesOfParts>
    <vt:vector size="5" baseType="lpstr">
      <vt:lpstr>Summary</vt:lpstr>
      <vt:lpstr>Test Data</vt:lpstr>
      <vt:lpstr>Test Files</vt:lpstr>
      <vt:lpstr>Assumptions</vt:lpstr>
      <vt:lpstr>Rider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Nathalie Gutierrez</cp:lastModifiedBy>
  <cp:revision>1</cp:revision>
  <dcterms:created xsi:type="dcterms:W3CDTF">2026-10-07T02:30:00Z</dcterms:created>
  <dcterms:modified xsi:type="dcterms:W3CDTF">2026-10-24T15:16:34Z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EF4F46A865D94520BE86544C48CA35F1_12</vt:lpwstr>
  </property>
  <property fmtid="{D5CDD505-2E9C-101B-9397-08002B2CF9AE}" pid="3" name="KSOProductBuildVer">
    <vt:lpwstr>1033-12.1.0.29162</vt:lpwstr>
  </property>
  <property fmtid="{D5CDD505-2E9C-101B-9397-08002B2CF9AE}" pid="4" name="CalculationRule">
    <vt:i4>0</vt:i4>
  </property>
</Properties>
</file>